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5da0ec6fc1465c" /></Relationships>
</file>

<file path=xl/workbook.xml><?xml version="1.0" encoding="utf-8"?>
<x:workbook xmlns:x="http://schemas.openxmlformats.org/spreadsheetml/2006/main">
  <x:sheets>
    <x:sheet xmlns:r="http://schemas.openxmlformats.org/officeDocument/2006/relationships" name="0_Hướng dẫn" sheetId="1" r:id="R0d2892bf4b224b04"/>
    <x:sheet xmlns:r="http://schemas.openxmlformats.org/officeDocument/2006/relationships" name="0_Đầu vào" sheetId="2" r:id="R5f37846ee29d4b8a"/>
    <x:sheet xmlns:r="http://schemas.openxmlformats.org/officeDocument/2006/relationships" name="A_Tài chính căn bản" sheetId="3" r:id="R3848cb0a36a84b44"/>
    <x:sheet xmlns:r="http://schemas.openxmlformats.org/officeDocument/2006/relationships" name="1_Chi phí mỗi việc" sheetId="4" r:id="R5e435d6b91ff4c0d"/>
    <x:sheet xmlns:r="http://schemas.openxmlformats.org/officeDocument/2006/relationships" name="2_Định giá" sheetId="5" r:id="Rbc418aefd7034c4f"/>
    <x:sheet xmlns:r="http://schemas.openxmlformats.org/officeDocument/2006/relationships" name="3_Giả định" sheetId="6" r:id="R2647f225c6e94c46"/>
    <x:sheet xmlns:r="http://schemas.openxmlformats.org/officeDocument/2006/relationships" name="4_Chỉ số mỗi khách" sheetId="7" r:id="R502fecaaf6374c5b"/>
    <x:sheet xmlns:r="http://schemas.openxmlformats.org/officeDocument/2006/relationships" name="5_Dòng tiền &amp; hiệu quả" sheetId="8" r:id="Rebd053371a5b465a"/>
    <x:sheet xmlns:r="http://schemas.openxmlformats.org/officeDocument/2006/relationships" name="6_Hiệu quả nội bộ" sheetId="9" r:id="R179ff34ee6ab42ab"/>
    <x:sheet xmlns:r="http://schemas.openxmlformats.org/officeDocument/2006/relationships" name="7_Quyết định" sheetId="10" r:id="Ra6d2b65fd5ba43bf"/>
    <x:sheet xmlns:r="http://schemas.openxmlformats.org/officeDocument/2006/relationships" name="8_Thang điểm" sheetId="11" r:id="R80657519730f440f"/>
    <x:sheet xmlns:r="http://schemas.openxmlformats.org/officeDocument/2006/relationships" name="9_Số tham khảo" sheetId="12" r:id="Rae974c63fe3a4053"/>
  </x:sheets>
</x:workbook>
</file>

<file path=xl/sharedStrings.xml><?xml version="1.0" encoding="utf-8"?>
<x:sst xmlns:x="http://schemas.openxmlformats.org/spreadsheetml/2006/main">
  <x:si>
    <x:t xml:space="preserve">CS9 · Kinh tế sản phẩm AI: chi phí, định giá, hiệu quả đầu tư — File thực hành</x:t>
  </x:si>
  <x:si>
    <x:t xml:space="preserve">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x:t>
  </x:si>
  <x:si>
    <x:t xml:space="preserve">Ô tự kiểm tra: "Đạt" là ổn. "Xem lại", "Chưa đủ sốc" là câu hỏi để nhóm soát: sửa nếu nhập sai; nếu số đúng thì giữ nguyên và giải thích ở trang 7. Không chỉnh giả định chỉ để được "Đạt".</x:t>
  </x:si>
  <x:si>
    <x:t xml:space="preserve">Luật chơi: CHỈ điền vào ô màu VÀNG (một số ô vàng có sẵn số mặc định, sửa được). Ô màu XANH LÁ NHẠT là công thức, đã khóa. Cột "Gợi ý" chữ xám (trang 1, 3, 6) chỉ cách lấy số và giá trị của bản mẫu, không cần điền.</x:t>
  </x:si>
  <x:si>
    <x:t xml:space="preserve">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x:t>
  </x:si>
  <x:si>
    <x:t xml:space="preserve">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x:t>
  </x:si>
  <x:si>
    <x:t xml:space="preserve">Giá token: tra bảng giá chính thức của nhà cung cấp vào ngày làm bài, ghi tên mô hình và ngày tra. Tỷ giá: ghi nguồn và ngày. Trang 9 có sẵn một số số liệu đã kiểm chứng.</x:t>
  </x:si>
  <x:si>
    <x:t xml:space="preserve">Kịch bản xấu phải là cú sốc thật: tỷ lệ rời bỏ và chi phí có một khách tối thiểu gấp 1,5 lần kịch bản cơ sở (trang 3 tự kiểm tra).</x:t>
  </x:si>
  <x:si>
    <x:t xml:space="preserve">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x:t>
  </x:si>
  <x:si>
    <x:t xml:space="preserve">Tên file nộp: [Nhom]_CS9.xlsx · Nộp lên VLearn khi hết Nhiệm vụ 4.</x:t>
  </x:si>
  <x:si>
    <x:t xml:space="preserve">Nối hai buổi trước: mang phiếu bài tập 1 và bài về nhà một trang của Ngày 22 (định giá, kênh bán), và bảng theo dõi chỉ số của Ngày 23. Trang 0 chỉ chỗ dùng từng thứ.</x:t>
  </x:si>
  <x:si>
    <x:t xml:space="preserve">Nguồn tham khảo khung bài: AI in Action khóa 3 — Ngày 24 Mô hình tài chính (slide và sổ tay), Ngày 25 Định giá và đưa sản phẩm ra thị trường (Đàm Bá Quyền). File này được dựng lại cho khóa 4.</x:t>
  </x:si>
  <x:si>
    <x:t xml:space="preserve">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x:t>
  </x:si>
  <x:si>
    <x:t xml:space="preserve">Đơn vị tiền: trang A tính bằng TRIỆU đồng; từ trang 1 trở đi tính bằng ĐỒNG, riêng bảng độ nhạy ở trang 5 (dòng 56–68) ghi bằng triệu đồng.</x:t>
  </x:si>
  <x:si>
    <x:t xml:space="preserve">Chú thích màu:</x:t>
  </x:si>
  <x:si>
    <x:t xml:space="preserve">Ô điền giả định (không khóa)</x:t>
  </x:si>
  <x:si>
    <x:t xml:space="preserve">Ô công thức (tự tính, đã khóa)</x:t>
  </x:si>
  <x:si>
    <x:t xml:space="preserve">Chữ xám nghiêng ở cột Gợi ý: cách lấy số và giá trị bản mẫu (không cần điền)</x:t>
  </x:si>
  <x:si>
    <x:t xml:space="preserve">0 · Nhiệm vụ 0: gom đầu vào — có thì tận dụng, chưa có thì làm mới (5 phút)</x:t>
  </x:si>
  <x:si>
    <x:t xml:space="preserve">Đánh dấu nhóm đã có hay chưa. Cả hai lối đi đều đủ điểm. Dùng số thật từ buổi trước được cộng tối đa 10 điểm.</x:t>
  </x:si>
  <x:si>
    <x:t xml:space="preserve">Có thể đã có từ buổi trước</x:t>
  </x:si>
  <x:si>
    <x:t xml:space="preserve">Nhóm đã có chưa?</x:t>
  </x:si>
  <x:si>
    <x:t xml:space="preserve">Nếu ĐÃ CÓ: dùng ở đâu</x:t>
  </x:si>
  <x:si>
    <x:t xml:space="preserve">Nếu CHƯA CÓ: làm gì</x:t>
  </x:si>
  <x:si>
    <x:t xml:space="preserve">Ghi chú (tên file, đường dẫn)</x:t>
  </x:si>
  <x:si>
    <x:t xml:space="preserve">Mô hình hiệu quả đầu tư 3–6–12 tháng và tài liệu yêu cầu sản phẩm (Phase 1, Ngày 6)</x:t>
  </x:si>
  <x:si>
    <x:t xml:space="preserve">Làm phiên bản 2; so sánh con số cũ và mới ở trang 3–5</x:t>
  </x:si>
  <x:si>
    <x:t xml:space="preserve">Dựng mới trên file này</x:t>
  </x:si>
  <x:si>
    <x:t xml:space="preserve">Bảng giám sát agent: token, chi phí theo ngày (Ngày 13)</x:t>
  </x:si>
  <x:si>
    <x:t xml:space="preserve">Lấy số lần gọi AI và token thật ở trang 1</x:t>
  </x:si>
  <x:si>
    <x:t xml:space="preserve">Chạy thử 5 câu hỏi, xem số token ở trang quản lý API (cách làm: trang 1, cột Gợi ý)</x:t>
  </x:si>
  <x:si>
    <x:t xml:space="preserve">Báo cáo đánh giá chất lượng (Ngày 14 hoặc buổi đánh giá Track 1)</x:t>
  </x:si>
  <x:si>
    <x:t xml:space="preserve">Tỷ lệ chưa đạt → tỷ lệ cần người kiểm tra ở trang 1</x:t>
  </x:si>
  <x:si>
    <x:t xml:space="preserve">Giả định 10–20%, ghi lý do</x:t>
  </x:si>
  <x:si>
    <x:t xml:space="preserve">Phiếu bài tập 1 và bài về nhà một trang (Ngày 22)</x:t>
  </x:si>
  <x:si>
    <x:t xml:space="preserve">Cách tính tiền, chi phí mỗi việc, giá đề xuất: chép vào trang 1–2 rồi soát lại</x:t>
  </x:si>
  <x:si>
    <x:t xml:space="preserve">Làm nhanh ở Nhiệm vụ 1–2 theo bản mẫu (cột Gợi ý ở trang 1–2)</x:t>
  </x:si>
  <x:si>
    <x:t xml:space="preserve">Bảng theo dõi chỉ số và luật xử lý (Ngày 23)</x:t>
  </x:si>
  <x:si>
    <x:t xml:space="preserve">Điền mức cảnh báo tự tính (trang 5, dòng 72–77) vào cột [TỰ TÍNH]</x:t>
  </x:si>
  <x:si>
    <x:t xml:space="preserve">Dùng bảng mức cảnh báo ở trang 5 làm khung</x:t>
  </x:si>
  <x:si>
    <x:t xml:space="preserve">Sản phẩm của nhóm từ các buổi trước</x:t>
  </x:si>
  <x:si>
    <x:t xml:space="preserve">Dùng xuyên suốt</x:t>
  </x:si>
  <x:si>
    <x:t xml:space="preserve">Nhóm ngồi chung bàn nhưng khác dự án: chọn 1 trong 3 đề bài giả định trong file CS9_DeBai_GiaDinh.pdf (đề cho sẵn số liệu trang 1–3; ghi tên đề ở cột Ghi chú)</x:t>
  </x:si>
  <x:si>
    <x:t xml:space="preserve">Số đầu vào nhóm đã có</x:t>
  </x:si>
  <x:si>
    <x:t xml:space="preserve">Điểm thưởng gợi ý (tối đa 10): 2 điểm cho mỗi đầu vào đã có và thật sự được dùng trong bài</x:t>
  </x:si>
  <x:si>
    <x:t xml:space="preserve">A · Bài tập tài chính doanh nghiệp căn bản: lập ba báo cáo tài chính</x:t>
  </x:si>
  <x:si>
    <x:t xml:space="preserve">Công ty Trợ Lý Xanh bán trợ lý AI trả lời tin nhắn. Dưới đây là mọi giao dịch của 3 tháng đầu. Lập báo cáo kết quả kinh doanh, bảng cân đối kế toán và báo cáo lưu chuyển tiền tệ.</x:t>
  </x:si>
  <x:si>
    <x:t xml:space="preserve">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x:t>
  </x:si>
  <x:si>
    <x:t xml:space="preserve">ĐỀ BÀI · Giao dịch 3 tháng đầu</x:t>
  </x:si>
  <x:si>
    <x:t xml:space="preserve">STT</x:t>
  </x:si>
  <x:si>
    <x:t xml:space="preserve">Giao dịch</x:t>
  </x:si>
  <x:si>
    <x:t xml:space="preserve">Tháng 1</x:t>
  </x:si>
  <x:si>
    <x:t xml:space="preserve">Tháng 2</x:t>
  </x:si>
  <x:si>
    <x:t xml:space="preserve">Tháng 3</x:t>
  </x:si>
  <x:si>
    <x:t xml:space="preserve">Ghi chú</x:t>
  </x:si>
  <x:si>
    <x:t xml:space="preserve">Bài 1 · Vào báo cáo kết quả? (Có / Không · vì sao)</x:t>
  </x:si>
  <x:si>
    <x:t xml:space="preserve">Chủ sở hữu góp vốn bằng tiền</x:t>
  </x:si>
  <x:si>
    <x:t xml:space="preserve">Vay ngân hàng, gốc trả sau 3 năm</x:t>
  </x:si>
  <x:si>
    <x:t xml:space="preserve">Lãi 12%/năm, trả cuối mỗi tháng</x:t>
  </x:si>
  <x:si>
    <x:t xml:space="preserve">Mua máy chủ, trả tiền ngay</x:t>
  </x:si>
  <x:si>
    <x:t xml:space="preserve">Dùng 36 tháng, khấu hao đều</x:t>
  </x:si>
  <x:si>
    <x:t xml:space="preserve">Bán gói tháng cho cửa hàng nhỏ, thu tiền ngay</x:t>
  </x:si>
  <x:si>
    <x:t xml:space="preserve">Ngân hàng X trả trước gói 12 tháng</x:t>
  </x:si>
  <x:si>
    <x:t xml:space="preserve">Dịch vụ chạy đều từ tháng 1</x:t>
  </x:si>
  <x:si>
    <x:t xml:space="preserve">Dự án triển khai cho công ty Y được nghiệm thu</x:t>
  </x:si>
  <x:si>
    <x:t xml:space="preserve">Y trả tiền sau 60 ngày (tháng 4)</x:t>
  </x:si>
  <x:si>
    <x:t xml:space="preserve">Chi phí gọi AI phát sinh trong tháng</x:t>
  </x:si>
  <x:si>
    <x:t xml:space="preserve">Nhà cung cấp cho trả vào tháng sau</x:t>
  </x:si>
  <x:si>
    <x:t xml:space="preserve">Người kiểm tra câu trả lời, trả trong tháng</x:t>
  </x:si>
  <x:si>
    <x:t xml:space="preserve">Lương đội phát triển và bán hàng, trả trong tháng</x:t>
  </x:si>
  <x:si>
    <x:t xml:space="preserve">Thuê văn phòng, trả trong tháng</x:t>
  </x:si>
  <x:si>
    <x:t xml:space="preserve">Thuế thu nhập doanh nghiệp</x:t>
  </x:si>
  <x:si>
    <x:t xml:space="preserve">Lỗ lũy kế nên chưa phát sinh thuế</x:t>
  </x:si>
  <x:si>
    <x:t xml:space="preserve">BÀI 1 · BÁO CÁO KẾT QUẢ KINH DOANH (10 phút). Ghi theo tháng phát sinh, không theo ngày tiền vào ra. Chi phí ghi số dương; dòng lợi nhuận = kết quả cộng trừ.</x:t>
  </x:si>
  <x:si>
    <x:t xml:space="preserve">Khoản mục</x:t>
  </x:si>
  <x:si>
    <x:t xml:space="preserve">Cộng 3 tháng</x:t>
  </x:si>
  <x:si>
    <x:t xml:space="preserve">Tự kiểm tra</x:t>
  </x:si>
  <x:si>
    <x:t xml:space="preserve">Doanh thu</x:t>
  </x:si>
  <x:si>
    <x:t xml:space="preserve">Giá vốn (gọi AI + người kiểm tra)</x:t>
  </x:si>
  <x:si>
    <x:t xml:space="preserve">Lợi nhuận gộp</x:t>
  </x:si>
  <x:si>
    <x:t xml:space="preserve">Chi phí hoạt động (lương + văn phòng)</x:t>
  </x:si>
  <x:si>
    <x:t xml:space="preserve">Lợi nhuận trước lãi vay, thuế và khấu hao (EBITDA)</x:t>
  </x:si>
  <x:si>
    <x:t xml:space="preserve">Khấu hao</x:t>
  </x:si>
  <x:si>
    <x:t xml:space="preserve">Lợi nhuận hoạt động</x:t>
  </x:si>
  <x:si>
    <x:t xml:space="preserve">Lãi vay</x:t>
  </x:si>
  <x:si>
    <x:t xml:space="preserve">Lợi nhuận trước thuế</x:t>
  </x:si>
  <x:si>
    <x:t xml:space="preserve">Lợi nhuận sau thuế</x:t>
  </x:si>
  <x:si>
    <x:t xml:space="preserve">Biên lợi nhuận gộp</x:t>
  </x:si>
  <x:si>
    <x:t xml:space="preserve">KIỂM TRA ghi theo kỳ: tổng lợi nhuận sau thuế 3 tháng (ô F31) có bằng −174 (số ở câu 3) không?</x:t>
  </x:si>
  <x:si>
    <x:t xml:space="preserve">BÀI 2 · BẢNG CÂN ĐỐI KẾ TOÁN cuối tháng 3 (Bài 2 và 3: 14 phút). Hao mòn lũy kế ghi số âm; lợi nhuận giữ lại đang lỗ thì ghi số âm.</x:t>
  </x:si>
  <x:si>
    <x:t xml:space="preserve">Số tiền</x:t>
  </x:si>
  <x:si>
    <x:t xml:space="preserve">TÀI SẢN</x:t>
  </x:si>
  <x:si>
    <x:t xml:space="preserve">Tiền</x:t>
  </x:si>
  <x:si>
    <x:t xml:space="preserve">Phải thu khách hàng</x:t>
  </x:si>
  <x:si>
    <x:t xml:space="preserve">Máy chủ — nguyên giá</x:t>
  </x:si>
  <x:si>
    <x:t xml:space="preserve">Hao mòn lũy kế</x:t>
  </x:si>
  <x:si>
    <x:t xml:space="preserve">Tổng tài sản</x:t>
  </x:si>
  <x:si>
    <x:t xml:space="preserve">NỢ PHẢI TRẢ</x:t>
  </x:si>
  <x:si>
    <x:t xml:space="preserve">Phải trả nhà cung cấp</x:t>
  </x:si>
  <x:si>
    <x:t xml:space="preserve">Doanh thu chưa thực hiện</x:t>
  </x:si>
  <x:si>
    <x:t xml:space="preserve">Vay ngân hàng</x:t>
  </x:si>
  <x:si>
    <x:t xml:space="preserve">Tổng nợ phải trả</x:t>
  </x:si>
  <x:si>
    <x:t xml:space="preserve">VỐN CHỦ SỞ HỮU</x:t>
  </x:si>
  <x:si>
    <x:t xml:space="preserve">Vốn góp</x:t>
  </x:si>
  <x:si>
    <x:t xml:space="preserve">Lợi nhuận giữ lại</x:t>
  </x:si>
  <x:si>
    <x:t xml:space="preserve">Tổng vốn chủ sở hữu</x:t>
  </x:si>
  <x:si>
    <x:t xml:space="preserve">Tổng nợ phải trả + vốn chủ sở hữu</x:t>
  </x:si>
  <x:si>
    <x:t xml:space="preserve">KIỂM TRA: Tài sản = Nợ phải trả + Vốn chủ sở hữu?</x:t>
  </x:si>
  <x:si>
    <x:t xml:space="preserve">KIỂM TRA: Lợi nhuận giữ lại = tổng lợi nhuận sau thuế 3 tháng (bài 1)?</x:t>
  </x:si>
  <x:si>
    <x:t xml:space="preserve">BÀI 3 · BÁO CÁO LƯU CHUYỂN TIỀN TỆ 3 tháng, phương pháp gián tiếp. Tiền vào ghi số dương, tiền ra ghi số âm; dòng 58–61 theo đúng chữ "Cộng" / "Trừ" ở đầu dòng.</x:t>
  </x:si>
  <x:si>
    <x:t xml:space="preserve">Cộng: khấu hao (không phải tiền chi ra) → số dương</x:t>
  </x:si>
  <x:si>
    <x:t xml:space="preserve">Trừ: phải thu khách hàng tăng thêm (đã ghi doanh thu, chưa thu tiền) → số âm</x:t>
  </x:si>
  <x:si>
    <x:t xml:space="preserve">Cộng: phải trả nhà cung cấp tăng thêm (đã ghi chi phí, chưa trả tiền) → số dương</x:t>
  </x:si>
  <x:si>
    <x:t xml:space="preserve">Cộng: doanh thu chưa thực hiện tăng thêm (khách trả trước) → số dương</x:t>
  </x:si>
  <x:si>
    <x:t xml:space="preserve">Dòng tiền từ hoạt động kinh doanh</x:t>
  </x:si>
  <x:si>
    <x:t xml:space="preserve">Mua máy chủ (tiền ra → số âm)</x:t>
  </x:si>
  <x:si>
    <x:t xml:space="preserve">Dòng tiền từ hoạt động đầu tư</x:t>
  </x:si>
  <x:si>
    <x:t xml:space="preserve">Góp vốn (tiền vào → số dương)</x:t>
  </x:si>
  <x:si>
    <x:t xml:space="preserve">Vay ngân hàng (tiền vào → số dương)</x:t>
  </x:si>
  <x:si>
    <x:t xml:space="preserve">Dòng tiền từ hoạt động tài chính</x:t>
  </x:si>
  <x:si>
    <x:t xml:space="preserve">Tiền tăng thêm trong kỳ</x:t>
  </x:si>
  <x:si>
    <x:t xml:space="preserve">Tiền đầu kỳ</x:t>
  </x:si>
  <x:si>
    <x:t xml:space="preserve">Tiền cuối kỳ</x:t>
  </x:si>
  <x:si>
    <x:t xml:space="preserve">KIỂM TRA: Tiền cuối kỳ = dòng Tiền trên bảng cân đối?</x:t>
  </x:si>
  <x:si>
    <x:t xml:space="preserve">KIỂM TRA: Lợi nhuận sau thuế = bài 1?</x:t>
  </x:si>
  <x:si>
    <x:t xml:space="preserve">CÂU HỎI 1–4 (làm sau Bài 2 và 3; câu 4 làm khi xong sớm). Mỗi câu 1–2 câu văn.</x:t>
  </x:si>
  <x:si>
    <x:t xml:space="preserve">1. Tháng nào có lãi? Trong tháng đó tiền mặt tăng hay giảm, bao nhiêu, vì sao? (Gợi ý: chỉ cộng tiền thật vào và ra trong tháng đó: tiền gọi AI tháng 1 trả trong tháng 2; 90 triệu dự án Y chưa thu.)</x:t>
  </x:si>
  <x:si>
    <x:t xml:space="preserve">2. 240 triệu ngân hàng X trả trước nằm ở đâu trên bảng cân đối cuối tháng 3, bao nhiêu? Vì sao không ghi hết vào doanh thu?</x:t>
  </x:si>
  <x:si>
    <x:t xml:space="preserve">3. Lỗ 174 triệu mà dòng tiền kinh doanh chỉ âm 19 triệu. Khoản nào bù vào? Có nên vui không?</x:t>
  </x:si>
  <x:si>
    <x:t xml:space="preserve">4. (Xong sớm) Nếu từ tháng 4 mọi thứ giữ như tháng 3, công ty còn trụ được khoảng bao nhiêu tháng?</x:t>
  </x:si>
  <x:si>
    <x:t xml:space="preserve">BÀI 5 · (Xong sớm) MUA MÁY CHỦ HAY THUÊ ĐÁM MÂY — so bằng giá trị hiện tại</x:t>
  </x:si>
  <x:si>
    <x:t xml:space="preserve">Mua: trả 360 triệu ngay, dùng 36 tháng. Thuê đám mây cùng cấu hình: 12 triệu/tháng, trả cuối mỗi tháng, trong 36 tháng. Bỏ qua chi phí vận hành và giá trị còn lại của máy.</x:t>
  </x:si>
  <x:si>
    <x:t xml:space="preserve">Giá mua máy chủ (triệu đồng)</x:t>
  </x:si>
  <x:si>
    <x:t xml:space="preserve">Tiền thuê mỗi tháng (triệu đồng)</x:t>
  </x:si>
  <x:si>
    <x:t xml:space="preserve">Số tháng</x:t>
  </x:si>
  <x:si>
    <x:t xml:space="preserve">Chi phí vốn / năm</x:t>
  </x:si>
  <x:si>
    <x:t xml:space="preserve">Giá trị hiện tại của 36 tháng tiền thuê. Gợi ý: =PV(C85/12; C84; -C83). Dấu trừ trước C83 để kết quả là số dương; máy đặt tiếng Anh dùng dấu phẩy thay dấu chấm phẩy.</x:t>
  </x:si>
  <x:si>
    <x:t xml:space="preserve">Nên mua hay thuê? (chọn Mua hoặc Thuê trong danh sách)</x:t>
  </x:si>
  <x:si>
    <x:t xml:space="preserve">Nếu chi phí vốn chỉ 8%/năm: giá trị hiện tại của tiền thuê (gợi ý: =PV(0,08/12; C84; -C83))</x:t>
  </x:si>
  <x:si>
    <x:t xml:space="preserve">Khi đó nên mua hay thuê?</x:t>
  </x:si>
  <x:si>
    <x:t xml:space="preserve">1 · Chi phí để AI làm xong 1 việc</x:t>
  </x:si>
  <x:si>
    <x:t xml:space="preserve">'Việc' = 1 đơn vị công việc khách nhận được, ví dụ: 1 hội thoại được trả lời, 1 hồ sơ được đọc, 1 cuộc gọi.</x:t>
  </x:si>
  <x:si>
    <x:t xml:space="preserve">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x:t>
  </x:si>
  <x:si>
    <x:t xml:space="preserve">Hạng mục</x:t>
  </x:si>
  <x:si>
    <x:t xml:space="preserve">Giá trị</x:t>
  </x:si>
  <x:si>
    <x:t xml:space="preserve">Đơn vị</x:t>
  </x:si>
  <x:si>
    <x:t xml:space="preserve">Nguồn / lý do</x:t>
  </x:si>
  <x:si>
    <x:t xml:space="preserve">Gợi ý cách lấy số · bản mẫu</x:t>
  </x:si>
  <x:si>
    <x:t xml:space="preserve">Mô tả 1 việc (Ngày 22 gọi là job)</x:t>
  </x:si>
  <x:si>
    <x:t xml:space="preserve">Một câu: AI nhận gì, trả ra gì cho khách. Bản mẫu: trả lời 1 hội thoại Zalo của khách cho cửa hàng nhỏ.</x:t>
  </x:si>
  <x:si>
    <x:t xml:space="preserve">Số lần gọi mô hình / việc</x:t>
  </x:si>
  <x:si>
    <x:t xml:space="preserve">lần</x:t>
  </x:si>
  <x:si>
    <x:t xml:space="preserve">Đếm số bước phải gọi mô hình cho 1 việc: hiểu câu hỏi, tra cứu, soạn trả lời, tự kiểm tra. Bản mẫu: 2.</x:t>
  </x:si>
  <x:si>
    <x:t xml:space="preserve">Token đầu vào / lần gọi</x:t>
  </x:si>
  <x:si>
    <x:t xml:space="preserve">token</x:t>
  </x:si>
  <x:si>
    <x:t xml:space="preserve">Gồm câu lệnh hệ thống + tài liệu tra cứu + lịch sử hội thoại + câu hỏi. Có bảng giám sát agent thì lấy số thật; chưa có thì chạy thử 5 câu và xem số token ở trang quản lý API. Bản mẫu: 2.000.</x:t>
  </x:si>
  <x:si>
    <x:t xml:space="preserve">Token đầu ra / lần gọi</x:t>
  </x:si>
  <x:si>
    <x:t xml:space="preserve">Độ dài câu trả lời, đếm bằng cách chạy thử. Bản mẫu: 300 (1–3 câu ngắn).</x:t>
  </x:si>
  <x:si>
    <x:t xml:space="preserve">Giá token đầu vào</x:t>
  </x:si>
  <x:si>
    <x:t xml:space="preserve">USD / 1 triệu token</x:t>
  </x:si>
  <x:si>
    <x:t xml:space="preserve">Chọn 1 mô hình ở trang 9 hoặc trang giá chính thức. Ghi tên mô hình, ngày tra, đường dẫn ở cột D. Bản mẫu: 0,4 USD (mô hình nhỏ giả định; nhóm thay bằng giá mô hình thật).</x:t>
  </x:si>
  <x:si>
    <x:t xml:space="preserve">Giá token đầu ra</x:t>
  </x:si>
  <x:si>
    <x:t xml:space="preserve">Như dòng 9. Giá đầu ra thường cao hơn đầu vào nhiều lần. Bản mẫu: 1,6 USD.</x:t>
  </x:si>
  <x:si>
    <x:t xml:space="preserve">Tỷ giá</x:t>
  </x:si>
  <x:si>
    <x:t xml:space="preserve">VND / USD</x:t>
  </x:si>
  <x:si>
    <x:t xml:space="preserve">Tỷ giá bán ra Vietcombank ở trang 9 (26.170 đồng, ngày 04/10/2026) hoặc tra mới, ghi ngày. Bản mẫu: 26.000.</x:t>
  </x:si>
  <x:si>
    <x:t xml:space="preserve">Tỷ lệ gọi lại khi lỗi</x:t>
  </x:si>
  <x:si>
    <x:t xml:space="preserve">%</x:t>
  </x:si>
  <x:si>
    <x:t xml:space="preserve">Tỷ lệ việc phải gọi lại vì lỗi, hết thời gian chờ, trả lời hỏng. Chưa đo: giả định 5–10%, ghi lý do. Bản mẫu: 10%.</x:t>
  </x:si>
  <x:si>
    <x:t xml:space="preserve">Hạ tầng / việc (máy chủ, cơ sở dữ liệu, gửi tin)</x:t>
  </x:si>
  <x:si>
    <x:t xml:space="preserve">VND</x:t>
  </x:si>
  <x:si>
    <x:t xml:space="preserve">Hoá đơn hạ tầng tăng theo lượt dùng (máy chủ, cơ sở dữ liệu, gửi tin) mỗi tháng ÷ số việc mỗi tháng. Phần trả cố định hằng tháng để ở trang 3, dòng 11. Bản mẫu: 100 đồng.</x:t>
  </x:si>
  <x:si>
    <x:t xml:space="preserve">Tỷ lệ việc cần người kiểm tra</x:t>
  </x:si>
  <x:si>
    <x:t xml:space="preserve">Lấy từ báo cáo đánh giá chất lượng (tỷ lệ trả lời chưa đạt). Chưa có: giả định 10–20%. Bản mẫu: 10%.</x:t>
  </x:si>
  <x:si>
    <x:t xml:space="preserve">Số phút người kiểm tra / việc</x:t>
  </x:si>
  <x:si>
    <x:t xml:space="preserve">phút</x:t>
  </x:si>
  <x:si>
    <x:t xml:space="preserve">Thời gian 1 người đọc và sửa 1 kết quả. Bản mẫu: 1,5 phút.</x:t>
  </x:si>
  <x:si>
    <x:t xml:space="preserve">Chi phí nhân sự kiểm tra</x:t>
  </x:si>
  <x:si>
    <x:t xml:space="preserve">VND / giờ</x:t>
  </x:si>
  <x:si>
    <x:t xml:space="preserve">Bằng (lương tháng + bảo hiểm) ÷ số giờ làm mỗi tháng (khoảng 176–208 giờ). Lương tối thiểu ở trang 9 chỉ là mức sàn. Bản mẫu: 60.000 đồng/giờ.</x:t>
  </x:si>
  <x:si>
    <x:t xml:space="preserve">Đánh giá chất lượng, giám sát, gán nhãn lại / việc</x:t>
  </x:si>
  <x:si>
    <x:t xml:space="preserve">Chi phí chạy bộ câu hỏi đánh giá, gán nhãn lại mỗi tháng ÷ số việc mỗi tháng. Bản mẫu: 60 đồng.</x:t>
  </x:si>
  <x:si>
    <x:t xml:space="preserve">Chi phí khác / việc (tuân thủ, lưu nhật ký…)</x:t>
  </x:si>
  <x:si>
    <x:t xml:space="preserve">Lưu nhật ký, bảo mật, tuân thủ. Ghi 0 thì nói vì sao. Bản mẫu: 30 đồng.</x:t>
  </x:si>
  <x:si>
    <x:t xml:space="preserve">KẾT QUẢ</x:t>
  </x:si>
  <x:si>
    <x:t xml:space="preserve">Chi phí gọi AI / việc (đã tính gọi lại)</x:t>
  </x:si>
  <x:si>
    <x:t xml:space="preserve">Chi phí người kiểm tra / việc</x:t>
  </x:si>
  <x:si>
    <x:t xml:space="preserve">Hạ tầng + đánh giá + khác / việc</x:t>
  </x:si>
  <x:si>
    <x:t xml:space="preserve">TỔNG CHI PHÍ MỖI VIỆC</x:t>
  </x:si>
  <x:si>
    <x:t xml:space="preserve">Bản mẫu: khoảng 413 đồng mỗi việc, trong đó gọi AI chỉ khoảng 73 đồng.</x:t>
  </x:si>
  <x:si>
    <x:t xml:space="preserve">Phần chìm so với chi phí gọi AI</x:t>
  </x:si>
  <x:si>
    <x:t xml:space="preserve">Dưới 30%: rà lại xem đã đủ các khoản chưa (kinh nghiệm giảng viên). Không thêm khoản bịa chỉ để đạt mốc.</x:t>
  </x:si>
  <x:si>
    <x:t xml:space="preserve">Giá sàn mỗi việc = 3 × chi phí mỗi việc</x:t>
  </x:si>
  <x:si>
    <x:t xml:space="preserve">Dùng cho giá từng việc, kể cả giá vượt hạn mức (biên ≈ 67%): chừa đệm cho khách dùng nhiều và giá AI biến động</x:t>
  </x:si>
  <x:si>
    <x:t xml:space="preserve">Giá tối thiểu để biên lợi nhuận gộp đạt 60%</x:t>
  </x:si>
  <x:si>
    <x:t xml:space="preserve">Giá bình quân mỗi việc của cả tệp khách nên cao hơn số này (để biên bình quân ≥ 60%, trang 4 và 7). Giá từng việc, kể cả phí vượt, dùng dòng 26.</x:t>
  </x:si>
  <x:si>
    <x:t xml:space="preserve">2 · Định giá: cách tính tiền, gói giá và nhóm khách dùng nhiều</x:t>
  </x:si>
  <x:si>
    <x:t xml:space="preserve">So sánh gói kết hợp (phí cố định + phí vượt hạn mức) với gói không giới hạn để thấy rủi ro từ nhóm khách dùng nhiều.</x:t>
  </x:si>
  <x:si>
    <x:t xml:space="preserve">Mục</x:t>
  </x:si>
  <x:si>
    <x:t xml:space="preserve">Khách trả tiền từ ngân sách nào?</x:t>
  </x:si>
  <x:si>
    <x:t xml:space="preserve">Phần mềm hay Nhân sự?</x:t>
  </x:si>
  <x:si>
    <x:t xml:space="preserve">Cách tính tiền đã chọn</x:t>
  </x:si>
  <x:si>
    <x:t xml:space="preserve">Bảng giá dưới luôn có dạng phí cố định + phí mỗi việc vượt hạn mức. Cách nhập cho từng cách tính tiền: dòng 35–40.</x:t>
  </x:si>
  <x:si>
    <x:t xml:space="preserve">Lý do chọn (hai câu hỏi: đo được kết quả? AI tự làm trọn?)</x:t>
  </x:si>
  <x:si>
    <x:t xml:space="preserve">Neo giá so với cái gì?</x:t>
  </x:si>
  <x:si>
    <x:t xml:space="preserve">Lương hoặc chi phí thuê ngoài, không so với giá ChatGPT</x:t>
  </x:si>
  <x:si>
    <x:t xml:space="preserve">Phí cố định / khách / tháng</x:t>
  </x:si>
  <x:si>
    <x:t xml:space="preserve">Số việc đã gồm trong phí cố định</x:t>
  </x:si>
  <x:si>
    <x:t xml:space="preserve">việc / tháng</x:t>
  </x:si>
  <x:si>
    <x:t xml:space="preserve">Giá mỗi việc vượt hạn mức</x:t>
  </x:si>
  <x:si>
    <x:t xml:space="preserve">VND / việc</x:t>
  </x:si>
  <x:si>
    <x:t xml:space="preserve">Giá gói không giới hạn (để so sánh; thường = phí cố định dòng 9)</x:t>
  </x:si>
  <x:si>
    <x:t xml:space="preserve">VND / tháng</x:t>
  </x:si>
  <x:si>
    <x:t xml:space="preserve">Nhóm khách</x:t>
  </x:si>
  <x:si>
    <x:t xml:space="preserve">Tỷ trọng số khách (2 dòng cộng = 100%)</x:t>
  </x:si>
  <x:si>
    <x:t xml:space="preserve">Số việc / 1 khách / tháng</x:t>
  </x:si>
  <x:si>
    <x:t xml:space="preserve">Doanh thu / khách (gói kết hợp)</x:t>
  </x:si>
  <x:si>
    <x:t xml:space="preserve">Chi phí AI / khách (= số việc × chi phí mỗi việc)</x:t>
  </x:si>
  <x:si>
    <x:t xml:space="preserve">Biên lợi nhuận gộp (kết hợp)</x:t>
  </x:si>
  <x:si>
    <x:t xml:space="preserve">Doanh thu / khách (không giới hạn)</x:t>
  </x:si>
  <x:si>
    <x:t xml:space="preserve">Biên lợi nhuận gộp (không giới hạn)</x:t>
  </x:si>
  <x:si>
    <x:t xml:space="preserve">Khách thường</x:t>
  </x:si>
  <x:si>
    <x:t xml:space="preserve">Khách dùng nhiều</x:t>
  </x:si>
  <x:si>
    <x:t xml:space="preserve">BÌNH QUÂN (theo tỷ trọng)</x:t>
  </x:si>
  <x:si>
    <x:t xml:space="preserve">Kiểm tra: tổng tỷ trọng phải = 100%</x:t>
  </x:si>
  <x:si>
    <x:t xml:space="preserve">Kiểm tra: giá mỗi việc vượt hạn mức ≥ giá sàn mỗi việc (trang 1, dòng 26)?</x:t>
  </x:si>
  <x:si>
    <x:t xml:space="preserve">Tỷ trọng doanh thu đến từ khách dùng nhiều</x:t>
  </x:si>
  <x:si>
    <x:t xml:space="preserve">Trong đó: phí vượt hạn mức</x:t>
  </x:si>
  <x:si>
    <x:t xml:space="preserve">Cảnh báo phụ thuộc</x:t>
  </x:si>
  <x:si>
    <x:t xml:space="preserve">PHÉP THỬ GIÁ: dùng chính quy tắc của Ngày 22 và chỉ số của Ngày 23</x:t>
  </x:si>
  <x:si>
    <x:t xml:space="preserve">Lương 1 tháng của người được thay</x:t>
  </x:si>
  <x:si>
    <x:t xml:space="preserve">Tỷ lệ chia doanh thu cho đối tác / kênh bán</x:t>
  </x:si>
  <x:si>
    <x:t xml:space="preserve">% doanh thu</x:t>
  </x:si>
  <x:si>
    <x:t xml:space="preserve">Trả mỗi tháng</x:t>
  </x:si>
  <x:si>
    <x:t xml:space="preserve">So với lương người được thay</x:t>
  </x:si>
  <x:si>
    <x:t xml:space="preserve">Quy tắc neo 50–70% lương (Ngày 22)</x:t>
  </x:si>
  <x:si>
    <x:t xml:space="preserve">Tiền AI ÷ doanh thu (chỉ số Ngày 23)</x:t>
  </x:si>
  <x:si>
    <x:t xml:space="preserve">Mức theo Ngày 23</x:t>
  </x:si>
  <x:si>
    <x:t xml:space="preserve">Khách dùng nhiều, gói kết hợp</x:t>
  </x:si>
  <x:si>
    <x:t xml:space="preserve">Khách dùng nhiều, nếu bán gói không giới hạn</x:t>
  </x:si>
  <x:si>
    <x:t xml:space="preserve">Biên lợi nhuận gộp bình quân sau khi chia cho đối tác</x:t>
  </x:si>
  <x:si>
    <x:t xml:space="preserve">Ngày 23: trên 50% ổn · 35–50% đáng lo · dưới 35% nguy</x:t>
  </x:si>
  <x:si>
    <x:t xml:space="preserve">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x:t>
  </x:si>
  <x:si>
    <x:t xml:space="preserve">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x:t>
  </x:si>
  <x:si>
    <x:t xml:space="preserve">CÁCH NHẬP DÒNG 9–12 THEO CÁCH TÍNH TIỀN ĐÃ CHỌN Ở DÒNG 6</x:t>
  </x:si>
  <x:si>
    <x:t xml:space="preserve">Theo lượt dùng</x:t>
  </x:si>
  <x:si>
    <x:t xml:space="preserve">Dòng 9 = 0 · dòng 10 = 0 · dòng 11 = giá mỗi việc</x:t>
  </x:si>
  <x:si>
    <x:t xml:space="preserve">Theo người dùng (tài khoản)</x:t>
  </x:si>
  <x:si>
    <x:t xml:space="preserve">Dòng 9 = giá mỗi tài khoản × số tài khoản của 1 khách · dòng 10 = mức dùng hợp lý · dòng 11 = phí vượt (không thu thì để trống, bỏ qua dòng 19, xem rủi ro ở dòng 31)</x:t>
  </x:si>
  <x:si>
    <x:t xml:space="preserve">Theo kết quả</x:t>
  </x:si>
  <x:si>
    <x:t xml:space="preserve">Dòng 9 = 0 · dòng 10 = 0 · dòng 11 = giá mỗi kết quả × tỷ lệ việc ra kết quả</x:t>
  </x:si>
  <x:si>
    <x:t xml:space="preserve">Kết hợp (bản mẫu)</x:t>
  </x:si>
  <x:si>
    <x:t xml:space="preserve">Dòng 9 = 499.000 · dòng 10 = 300 việc · dòng 11 = 1.500 đồng mỗi việc</x:t>
  </x:si>
  <x:si>
    <x:t xml:space="preserve">Dòng 12</x:t>
  </x:si>
  <x:si>
    <x:t xml:space="preserve">Chỉ để so sánh: nhập bằng phí cố định dòng 9; nếu dòng 9 = 0 thì nhập mức trọn gói nhóm từng cân nhắc.</x:t>
  </x:si>
  <x:si>
    <x:t xml:space="preserve">3 · Giả định cho 3 kịch bản</x:t>
  </x:si>
  <x:si>
    <x:t xml:space="preserve">Lạc quan = trình bày với nhà đầu tư · Cơ sở = lập kế hoạch · Xấu = để sống sót. Điền cột CƠ SỞ trước, có nguồn hoặc lý do. Cột Lạc quan, Xấu có sẵn mặc định theo Cơ sở (xem cột Gợi ý); sửa nếu có lý do.</x:t>
  </x:si>
  <x:si>
    <x:t xml:space="preserve">Giả định</x:t>
  </x:si>
  <x:si>
    <x:t xml:space="preserve">Lạc quan</x:t>
  </x:si>
  <x:si>
    <x:t xml:space="preserve">Cơ sở</x:t>
  </x:si>
  <x:si>
    <x:t xml:space="preserve">Xấu</x:t>
  </x:si>
  <x:si>
    <x:t xml:space="preserve">Gợi ý · bản mẫu (Lạc quan / Cơ sở / Xấu)</x:t>
  </x:si>
  <x:si>
    <x:t xml:space="preserve">Hệ số doanh thu bình quân so với trang 2 (1 = giữ nguyên · 1,1 = cao hơn 10% · 0,8 = thấp hơn 20%)</x:t>
  </x:si>
  <x:si>
    <x:t xml:space="preserve">×</x:t>
  </x:si>
  <x:si>
    <x:t xml:space="preserve">Bản mẫu: 1,1 / 1 / 0,8. Xấu: bị ép giảm giá; lạc quan: bán được gói cao hơn.</x:t>
  </x:si>
  <x:si>
    <x:t xml:space="preserve">Hệ số chi phí AI / khách so với trang 2 (gõ như dòng 5)</x:t>
  </x:si>
  <x:si>
    <x:t xml:space="preserve">Bản mẫu: 0,9 / 1 / 1,2. Giá gọi AI hoặc cách khách dùng thay đổi.</x:t>
  </x:si>
  <x:si>
    <x:t xml:space="preserve">Khách mới tháng 1 (số khách ký được trong tháng đầu bán)</x:t>
  </x:si>
  <x:si>
    <x:t xml:space="preserve">khách</x:t>
  </x:si>
  <x:si>
    <x:t xml:space="preserve">Cơ sở: số khách đội bán hàng ký được thật trong tháng đầu. Mặc định: lạc quan = cơ sở × 1,3; xấu = cơ sở × 0,5. (Bản mẫu tự đặt 40 / 30 / 15.)</x:t>
  </x:si>
  <x:si>
    <x:t xml:space="preserve">Tăng trưởng khách mới / tháng (tính kép: 5%/tháng → tháng 24 gấp khoảng 3 lần tháng 1; 20%/tháng → gấp khoảng 66 lần)</x:t>
  </x:si>
  <x:si>
    <x:t xml:space="preserve">Mặc định: lạc quan × 1,6, xấu × 0,4. Bản mẫu: 8% / 5% / 2%. Trên 10% mỗi tháng cần lý do rất chắc.</x:t>
  </x:si>
  <x:si>
    <x:t xml:space="preserve">Tỷ lệ rời bỏ / tháng</x:t>
  </x:si>
  <x:si>
    <x:t xml:space="preserve">Chưa có số đo: lấy từ phỏng vấn hoặc thử nghiệm, ghi "Giả định". Xấu phải ≥ 1,5 × cơ sở. Mặc định: lạc quan × 0,6, xấu × 1,6. Bản mẫu: 3% / 5% / 8%.</x:t>
  </x:si>
  <x:si>
    <x:t xml:space="preserve">Chi phí có một khách (CAC) = tiền quảng cáo và bán hàng 1 tháng ÷ số khách mới tháng đó</x:t>
  </x:si>
  <x:si>
    <x:t xml:space="preserve">VND / khách</x:t>
  </x:si>
  <x:si>
    <x:t xml:space="preserve">Xấu phải ≥ 1,5 × cơ sở. Mặc định: lạc quan × 0,8, xấu × 1,5. (Bản mẫu tự đặt 1,2 / 1,5 / 2,3 triệu đồng.)</x:t>
  </x:si>
  <x:si>
    <x:t xml:space="preserve">Chi phí cố định / tháng (lương đội, văn phòng, hạ tầng trả cố định)</x:t>
  </x:si>
  <x:si>
    <x:t xml:space="preserve">Gõ đủ số đồng. Gồm lương đội phát triển (đã tách khỏi trang 1) và chi phí kiểm thử lại mỗi khi đổi mô hình hoặc câu lệnh. Bản mẫu: 150 triệu.</x:t>
  </x:si>
  <x:si>
    <x:t xml:space="preserve">Chi phí xây dựng ban đầu, gồm chi phí thử sai (chi một lần ở tháng 0)</x:t>
  </x:si>
  <x:si>
    <x:t xml:space="preserve">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x:t>
  </x:si>
  <x:si>
    <x:t xml:space="preserve">Tiền mặt hoặc ngân sách đã duyệt (trước khi chi xây dựng)</x:t>
  </x:si>
  <x:si>
    <x:t xml:space="preserve">Gõ đủ số đồng. Dự án trong công ty: ghi ngân sách đã duyệt. Để trống thì mọi kịch bản hết tiền ngay tháng 1. Bản mẫu: 2 tỷ.</x:t>
  </x:si>
  <x:si>
    <x:t xml:space="preserve">Lãi suất chiết khấu / năm</x:t>
  </x:si>
  <x:si>
    <x:t xml:space="preserve">Giữ 15% nếu không có lý do khác.</x:t>
  </x:si>
  <x:si>
    <x:t xml:space="preserve">Giá trị tính ra</x:t>
  </x:si>
  <x:si>
    <x:t xml:space="preserve">Doanh thu bình quân / khách / tháng</x:t>
  </x:si>
  <x:si>
    <x:t xml:space="preserve">Chi phí AI (giá vốn) / khách / tháng</x:t>
  </x:si>
  <x:si>
    <x:t xml:space="preserve">Doanh thu bình quân đã trừ phần chia cho đối tác (trang 2, dòng 27).</x:t>
  </x:si>
  <x:si>
    <x:t xml:space="preserve">Kiểm tra kịch bản xấu</x:t>
  </x:si>
  <x:si>
    <x:t xml:space="preserve">Tỷ lệ rời bỏ (xấu) ≥ 1,5 × cơ sở?</x:t>
  </x:si>
  <x:si>
    <x:t xml:space="preserve">Chi phí có một khách (xấu) ≥ 1,5 × cơ sở?</x:t>
  </x:si>
  <x:si>
    <x:t xml:space="preserve">4 · Chỉ số trên mỗi khách: có lãi trên từng khách không?</x:t>
  </x:si>
  <x:si>
    <x:t xml:space="preserve">Giá trị vòng đời (LTV) tính trên lợi nhuận gộp, KHÔNG tính trên doanh thu.</x:t>
  </x:si>
  <x:si>
    <x:t xml:space="preserve">Chỉ số</x:t>
  </x:si>
  <x:si>
    <x:t xml:space="preserve">Ngưỡng tham khảo</x:t>
  </x:si>
  <x:si>
    <x:t xml:space="preserve">Lợi nhuận gộp / khách / tháng</x:t>
  </x:si>
  <x:si>
    <x:t xml:space="preserve">≥ 60%</x:t>
  </x:si>
  <x:si>
    <x:t xml:space="preserve">Số tháng khách ở lại = 1 ÷ tỷ lệ rời bỏ</x:t>
  </x:si>
  <x:si>
    <x:t xml:space="preserve">Giá trị vòng đời (LTV) = lợi nhuận gộp × số tháng ở lại</x:t>
  </x:si>
  <x:si>
    <x:t xml:space="preserve">Chi phí có một khách (CAC)</x:t>
  </x:si>
  <x:si>
    <x:t xml:space="preserve">LTV ÷ CAC (lần)</x:t>
  </x:si>
  <x:si>
    <x:t xml:space="preserve">&gt; 3 (Ngày 23); mô hình của bạn: trang 5, dòng 74</x:t>
  </x:si>
  <x:si>
    <x:t xml:space="preserve">Thời gian hoàn vốn chi phí có khách (tháng)</x:t>
  </x:si>
  <x:si>
    <x:t xml:space="preserve">&lt; 12 tháng</x:t>
  </x:si>
  <x:si>
    <x:t xml:space="preserve">Đánh giá</x:t>
  </x:si>
  <x:si>
    <x:t xml:space="preserve">5 · Dòng tiền 24 tháng và hiệu quả đầu tư (3 kịch bản)</x:t>
  </x:si>
  <x:si>
    <x:t xml:space="preserve">Trang này tự tính: chỉ đọc kết quả, trừ ô vàng B54 (mức làm xấu). Kết quả chỉ có nghĩa khi trang 1–3 đã điền đủ. Tháng 0 = chi phí xây dựng. Bảng độ nhạy ở dòng 53, mức cảnh báo tự tính ở dòng 70–77.</x:t>
  </x:si>
  <x:si>
    <x:t xml:space="preserve">Kịch bản / dòng</x:t>
  </x:si>
  <x:si>
    <x:t xml:space="preserve">Tháng 0</x:t>
  </x:si>
  <x:si>
    <x:t xml:space="preserve">T1</x:t>
  </x:si>
  <x:si>
    <x:t xml:space="preserve">T2</x:t>
  </x:si>
  <x:si>
    <x:t xml:space="preserve">T3</x:t>
  </x:si>
  <x:si>
    <x:t xml:space="preserve">T4</x:t>
  </x:si>
  <x:si>
    <x:t xml:space="preserve">T5</x:t>
  </x:si>
  <x:si>
    <x:t xml:space="preserve">T6</x:t>
  </x:si>
  <x:si>
    <x:t xml:space="preserve">T7</x:t>
  </x:si>
  <x:si>
    <x:t xml:space="preserve">T8</x:t>
  </x:si>
  <x:si>
    <x:t xml:space="preserve">T9</x:t>
  </x:si>
  <x:si>
    <x:t xml:space="preserve">T10</x:t>
  </x:si>
  <x:si>
    <x:t xml:space="preserve">T11</x:t>
  </x:si>
  <x:si>
    <x:t xml:space="preserve">T12</x:t>
  </x:si>
  <x:si>
    <x:t xml:space="preserve">T13</x:t>
  </x:si>
  <x:si>
    <x:t xml:space="preserve">T14</x:t>
  </x:si>
  <x:si>
    <x:t xml:space="preserve">T15</x:t>
  </x:si>
  <x:si>
    <x:t xml:space="preserve">T16</x:t>
  </x:si>
  <x:si>
    <x:t xml:space="preserve">T17</x:t>
  </x:si>
  <x:si>
    <x:t xml:space="preserve">T18</x:t>
  </x:si>
  <x:si>
    <x:t xml:space="preserve">T19</x:t>
  </x:si>
  <x:si>
    <x:t xml:space="preserve">T20</x:t>
  </x:si>
  <x:si>
    <x:t xml:space="preserve">T21</x:t>
  </x:si>
  <x:si>
    <x:t xml:space="preserve">T22</x:t>
  </x:si>
  <x:si>
    <x:t xml:space="preserve">T23</x:t>
  </x:si>
  <x:si>
    <x:t xml:space="preserve">T24</x:t>
  </x:si>
  <x:si>
    <x:t xml:space="preserve">LẠC QUAN</x:t>
  </x:si>
  <x:si>
    <x:t xml:space="preserve">Khách mới</x:t>
  </x:si>
  <x:si>
    <x:t xml:space="preserve">Khách đang dùng</x:t>
  </x:si>
  <x:si>
    <x:t xml:space="preserve">Chi phí AI (giá vốn)</x:t>
  </x:si>
  <x:si>
    <x:t xml:space="preserve">Chi phí bán hàng (chi phí có khách × khách mới)</x:t>
  </x:si>
  <x:si>
    <x:t xml:space="preserve">Chi phí cố định</x:t>
  </x:si>
  <x:si>
    <x:t xml:space="preserve">Dòng tiền ròng</x:t>
  </x:si>
  <x:si>
    <x:t xml:space="preserve">Tiền mặt cuối kỳ</x:t>
  </x:si>
  <x:si>
    <x:t xml:space="preserve">Dòng tiền lũy kế của dự án</x:t>
  </x:si>
  <x:si>
    <x:t xml:space="preserve">CƠ SỞ</x:t>
  </x:si>
  <x:si>
    <x:t xml:space="preserve">XẤU</x:t>
  </x:si>
  <x:si>
    <x:t xml:space="preserve">TÓM TẮT HIỆU QUẢ ĐẦU TƯ</x:t>
  </x:si>
  <x:si>
    <x:t xml:space="preserve">Giá trị hiện tại ròng 24 tháng (đồng; lớn hơn 0 là đáng làm)</x:t>
  </x:si>
  <x:si>
    <x:t xml:space="preserve">&gt; 0</x:t>
  </x:si>
  <x:si>
    <x:t xml:space="preserve">Tỷ suất hoàn vốn nội bộ (IRR, quy ra năm)</x:t>
  </x:si>
  <x:si>
    <x:t xml:space="preserve">&gt; chi phí vốn</x:t>
  </x:si>
  <x:si>
    <x:t xml:space="preserve">Lãi suất làm giá trị hiện tại ròng bằng 0; so với chi phí vốn 15%. Số rất lớn ở kịch bản lạc quan là do vốn quay về nhanh — chỉ dùng để so sánh, không đọc như lợi nhuận.</x:t>
  </x:si>
  <x:si>
    <x:t xml:space="preserve">Tiền mặt thấp nhất</x:t>
  </x:si>
  <x:si>
    <x:t xml:space="preserve">Tháng hết tiền</x:t>
  </x:si>
  <x:si>
    <x:t xml:space="preserve">Không hết trong 12 tháng đầu</x:t>
  </x:si>
  <x:si>
    <x:t xml:space="preserve">Chỉ báo khi tiền mặt âm trong 24 tháng. Kịch bản cơ sở có thể luôn "Không hết tiền" — khi thử độ nhạy, hãy nhìn giá trị hiện tại ròng.</x:t>
  </x:si>
  <x:si>
    <x:t xml:space="preserve">Hoàn vốn dự án</x:t>
  </x:si>
  <x:si>
    <x:t xml:space="preserve">&lt; 24 tháng</x:t>
  </x:si>
  <x:si>
    <x:t xml:space="preserve">Khách đang dùng tháng 24</x:t>
  </x:si>
  <x:si>
    <x:t xml:space="preserve">Doanh thu tháng 24</x:t>
  </x:si>
  <x:si>
    <x:t xml:space="preserve">BẢNG ĐỘ NHẠY (kịch bản cơ sở): làm xấu từng biến, mỗi lần một biến</x:t>
  </x:si>
  <x:si>
    <x:t xml:space="preserve">Mức làm xấu</x:t>
  </x:si>
  <x:si>
    <x:t xml:space="preserve">Có thể đổi thành 10% hoặc 30% để thử</x:t>
  </x:si>
  <x:si>
    <x:t xml:space="preserve">Biến làm xấu</x:t>
  </x:si>
  <x:si>
    <x:t xml:space="preserve">Giá trị cơ sở</x:t>
  </x:si>
  <x:si>
    <x:t xml:space="preserve">Giá trị sau khi làm xấu</x:t>
  </x:si>
  <x:si>
    <x:t xml:space="preserve">Giá trị hiện tại ròng 24 tháng (triệu đồng)</x:t>
  </x:si>
  <x:si>
    <x:t xml:space="preserve">Chênh lệch so với cơ sở (triệu đồng)</x:t>
  </x:si>
  <x:si>
    <x:t xml:space="preserve">Tháng hoàn vốn</x:t>
  </x:si>
  <x:si>
    <x:t xml:space="preserve">Mức nguy hiểm (1 = nhất)</x:t>
  </x:si>
  <x:si>
    <x:t xml:space="preserve">Không đổi (cơ sở)</x:t>
  </x:si>
  <x:si>
    <x:t xml:space="preserve">—</x:t>
  </x:si>
  <x:si>
    <x:t xml:space="preserve">Doanh thu bình quân giảm</x:t>
  </x:si>
  <x:si>
    <x:t xml:space="preserve">Chi phí AI tăng</x:t>
  </x:si>
  <x:si>
    <x:t xml:space="preserve">Tỷ lệ rời bỏ tăng</x:t>
  </x:si>
  <x:si>
    <x:t xml:space="preserve">Chi phí có một khách tăng</x:t>
  </x:si>
  <x:si>
    <x:t xml:space="preserve">Khách mới tháng đầu giảm</x:t>
  </x:si>
  <x:si>
    <x:t xml:space="preserve">Tăng trưởng khách mới giảm</x:t>
  </x:si>
  <x:si>
    <x:t xml:space="preserve">Chi phí cố định tăng</x:t>
  </x:si>
  <x:si>
    <x:t xml:space="preserve">Biến nguy hiểm nhất</x:t>
  </x:si>
  <x:si>
    <x:t xml:space="preserve">Tình huống: khách dùng nhiều bỏ đi, thay bằng khách thường</x:t>
  </x:si>
  <x:si>
    <x:t xml:space="preserve">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x:t>
  </x:si>
  <x:si>
    <x:t xml:space="preserve">MỨC CẢNH BÁO TỰ TÍNH (kịch bản cơ sở): chép vào cột [TỰ TÍNH] của bảng theo dõi Ngày 23. Nếu giá trị hiện tại ròng cơ sở (D57) đang âm, cột C là mức PHẢI ĐẠT để hoà vốn, chưa phải mức cảnh báo.</x:t>
  </x:si>
  <x:si>
    <x:t xml:space="preserve">Cơ sở hiện tại</x:t>
  </x:si>
  <x:si>
    <x:t xml:space="preserve">Mức hoà vốn (giá trị hiện tại ròng 24 tháng = 0)</x:t>
  </x:si>
  <x:si>
    <x:t xml:space="preserve">Còn cách (so với hiện tại)</x:t>
  </x:si>
  <x:si>
    <x:t xml:space="preserve">Cách dùng trong bảng theo dõi Ngày 23</x:t>
  </x:si>
  <x:si>
    <x:t xml:space="preserve">Doanh thu bình quân / khách / tháng (VND)</x:t>
  </x:si>
  <x:si>
    <x:t xml:space="preserve">Dưới mức này là "nguy"</x:t>
  </x:si>
  <x:si>
    <x:t xml:space="preserve">Dưới mức này là "nguy". Ngày 22 nói 60%: đây là con số của chính mô hình</x:t>
  </x:si>
  <x:si>
    <x:t xml:space="preserve">Chi phí có một khách tối đa (VND)</x:t>
  </x:si>
  <x:si>
    <x:t xml:space="preserve">Khách mới tháng đầu tối thiểu</x:t>
  </x:si>
  <x:si>
    <x:t xml:space="preserve">Chỉ số báo sớm: số cửa hàng ký mới mỗi tháng</x:t>
  </x:si>
  <x:si>
    <x:t xml:space="preserve">Chi phí cố định tối đa / tháng (VND)</x:t>
  </x:si>
  <x:si>
    <x:t xml:space="preserve">Trần chi cho đội và văn phòng</x:t>
  </x:si>
  <x:si>
    <x:t xml:space="preserve">Tỷ lệ chia doanh thu cho đối tác tối đa</x:t>
  </x:si>
  <x:si>
    <x:t xml:space="preserve">Trần khi đàm phán với đối tác. Ngày 23 chỉ đòi biên sau chia trên 50%</x:t>
  </x:si>
  <x:si>
    <x:t xml:space="preserve">BẢNG TÍNH PHỤ CHO ĐỘ NHẠY — đã ẩn, không cần đọc</x:t>
  </x:si>
  <x:si>
    <x:t xml:space="preserve">Kịch bản</x:t>
  </x:si>
  <x:si>
    <x:t xml:space="preserve">Doanh thu bình quân</x:t>
  </x:si>
  <x:si>
    <x:t xml:space="preserve">Chi phí AI / khách</x:t>
  </x:si>
  <x:si>
    <x:t xml:space="preserve">Khách mới tháng 1</x:t>
  </x:si>
  <x:si>
    <x:t xml:space="preserve">Tăng trưởng</x:t>
  </x:si>
  <x:si>
    <x:t xml:space="preserve">Tỷ lệ rời bỏ</x:t>
  </x:si>
  <x:si>
    <x:t xml:space="preserve">Chi phí có khách</x:t>
  </x:si>
  <x:si>
    <x:t xml:space="preserve">Chi phí xây dựng</x:t>
  </x:si>
  <x:si>
    <x:t xml:space="preserve">Tiền mặt</x:t>
  </x:si>
  <x:si>
    <x:t xml:space="preserve">Lãi suất</x:t>
  </x:si>
  <x:si>
    <x:t xml:space="preserve">KB0 · Không đổi (cơ sở)</x:t>
  </x:si>
  <x:si>
    <x:t xml:space="preserve">KB1 · Doanh thu bình quân giảm</x:t>
  </x:si>
  <x:si>
    <x:t xml:space="preserve">KB2 · Chi phí AI tăng</x:t>
  </x:si>
  <x:si>
    <x:t xml:space="preserve">KB3 · Tỷ lệ rời bỏ tăng</x:t>
  </x:si>
  <x:si>
    <x:t xml:space="preserve">KB4 · Chi phí có một khách tăng</x:t>
  </x:si>
  <x:si>
    <x:t xml:space="preserve">KB5 · Khách mới tháng đầu giảm</x:t>
  </x:si>
  <x:si>
    <x:t xml:space="preserve">KB6 · Tăng trưởng khách mới giảm</x:t>
  </x:si>
  <x:si>
    <x:t xml:space="preserve">KB7 · Chi phí cố định tăng</x:t>
  </x:si>
  <x:si>
    <x:t xml:space="preserve">KB8 · Tình huống: khách dùng nhiều bỏ đi, thay bằng khách thường</x:t>
  </x:si>
  <x:si>
    <x:t xml:space="preserve">KB0 · Khách mới</x:t>
  </x:si>
  <x:si>
    <x:t xml:space="preserve">KB0 · Khách đang dùng</x:t>
  </x:si>
  <x:si>
    <x:t xml:space="preserve">KB0 · Dòng tiền ròng</x:t>
  </x:si>
  <x:si>
    <x:t xml:space="preserve">KB0 · Tiền mặt cuối kỳ</x:t>
  </x:si>
  <x:si>
    <x:t xml:space="preserve">KB0 · Dòng tiền lũy kế</x:t>
  </x:si>
  <x:si>
    <x:t xml:space="preserve">KB1 · Khách mới</x:t>
  </x:si>
  <x:si>
    <x:t xml:space="preserve">KB1 · Khách đang dùng</x:t>
  </x:si>
  <x:si>
    <x:t xml:space="preserve">KB1 · Dòng tiền ròng</x:t>
  </x:si>
  <x:si>
    <x:t xml:space="preserve">KB1 · Tiền mặt cuối kỳ</x:t>
  </x:si>
  <x:si>
    <x:t xml:space="preserve">KB1 · Dòng tiền lũy kế</x:t>
  </x:si>
  <x:si>
    <x:t xml:space="preserve">KB2 · Khách mới</x:t>
  </x:si>
  <x:si>
    <x:t xml:space="preserve">KB2 · Khách đang dùng</x:t>
  </x:si>
  <x:si>
    <x:t xml:space="preserve">KB2 · Dòng tiền ròng</x:t>
  </x:si>
  <x:si>
    <x:t xml:space="preserve">KB2 · Tiền mặt cuối kỳ</x:t>
  </x:si>
  <x:si>
    <x:t xml:space="preserve">KB2 · Dòng tiền lũy kế</x:t>
  </x:si>
  <x:si>
    <x:t xml:space="preserve">KB3 · Khách mới</x:t>
  </x:si>
  <x:si>
    <x:t xml:space="preserve">KB3 · Khách đang dùng</x:t>
  </x:si>
  <x:si>
    <x:t xml:space="preserve">KB3 · Dòng tiền ròng</x:t>
  </x:si>
  <x:si>
    <x:t xml:space="preserve">KB3 · Tiền mặt cuối kỳ</x:t>
  </x:si>
  <x:si>
    <x:t xml:space="preserve">KB3 · Dòng tiền lũy kế</x:t>
  </x:si>
  <x:si>
    <x:t xml:space="preserve">KB4 · Khách mới</x:t>
  </x:si>
  <x:si>
    <x:t xml:space="preserve">KB4 · Khách đang dùng</x:t>
  </x:si>
  <x:si>
    <x:t xml:space="preserve">KB4 · Dòng tiền ròng</x:t>
  </x:si>
  <x:si>
    <x:t xml:space="preserve">KB4 · Tiền mặt cuối kỳ</x:t>
  </x:si>
  <x:si>
    <x:t xml:space="preserve">KB4 · Dòng tiền lũy kế</x:t>
  </x:si>
  <x:si>
    <x:t xml:space="preserve">KB5 · Khách mới</x:t>
  </x:si>
  <x:si>
    <x:t xml:space="preserve">KB5 · Khách đang dùng</x:t>
  </x:si>
  <x:si>
    <x:t xml:space="preserve">KB5 · Dòng tiền ròng</x:t>
  </x:si>
  <x:si>
    <x:t xml:space="preserve">KB5 · Tiền mặt cuối kỳ</x:t>
  </x:si>
  <x:si>
    <x:t xml:space="preserve">KB5 · Dòng tiền lũy kế</x:t>
  </x:si>
  <x:si>
    <x:t xml:space="preserve">KB6 · Khách mới</x:t>
  </x:si>
  <x:si>
    <x:t xml:space="preserve">KB6 · Khách đang dùng</x:t>
  </x:si>
  <x:si>
    <x:t xml:space="preserve">KB6 · Dòng tiền ròng</x:t>
  </x:si>
  <x:si>
    <x:t xml:space="preserve">KB6 · Tiền mặt cuối kỳ</x:t>
  </x:si>
  <x:si>
    <x:t xml:space="preserve">KB6 · Dòng tiền lũy kế</x:t>
  </x:si>
  <x:si>
    <x:t xml:space="preserve">KB7 · Khách mới</x:t>
  </x:si>
  <x:si>
    <x:t xml:space="preserve">KB7 · Khách đang dùng</x:t>
  </x:si>
  <x:si>
    <x:t xml:space="preserve">KB7 · Dòng tiền ròng</x:t>
  </x:si>
  <x:si>
    <x:t xml:space="preserve">KB7 · Tiền mặt cuối kỳ</x:t>
  </x:si>
  <x:si>
    <x:t xml:space="preserve">KB7 · Dòng tiền lũy kế</x:t>
  </x:si>
  <x:si>
    <x:t xml:space="preserve">KB8 · Khách mới</x:t>
  </x:si>
  <x:si>
    <x:t xml:space="preserve">KB8 · Khách đang dùng</x:t>
  </x:si>
  <x:si>
    <x:t xml:space="preserve">KB8 · Dòng tiền ròng</x:t>
  </x:si>
  <x:si>
    <x:t xml:space="preserve">KB8 · Tiền mặt cuối kỳ</x:t>
  </x:si>
  <x:si>
    <x:t xml:space="preserve">KB8 · Dòng tiền lũy kế</x:t>
  </x:si>
  <x:si>
    <x:t xml:space="preserve">6 · Hiệu quả dự án AI dùng trong nội bộ (khi sản phẩm phục vụ chính công ty)</x:t>
  </x:si>
  <x:si>
    <x:t xml:space="preserve">Hiệu quả = (giá trị tạo ra − chi phí vận hành) so với chi phí đầu tư một lần. Không dùng thay cho trang 3–5 nếu sản phẩm bán ra thị trường.</x:t>
  </x:si>
  <x:si>
    <x:t xml:space="preserve">Lưu ý: giờ tiết kiệm chỉ thành tiền khi được dùng vào việc khác hoặc giúp giảm tuyển mới. Nếu không, chỉ ghi phần đo được ở dòng 9 và nói rõ lý do.</x:t>
  </x:si>
  <x:si>
    <x:t xml:space="preserve">Số nhân sự dùng công cụ</x:t>
  </x:si>
  <x:si>
    <x:t xml:space="preserve">người</x:t>
  </x:si>
  <x:si>
    <x:t xml:space="preserve">Số người sẽ dùng công cụ. Bản mẫu: 30 (1 phòng ban).</x:t>
  </x:si>
  <x:si>
    <x:t xml:space="preserve">Giờ tiết kiệm / người / tuần (chỉ tính giờ được dùng vào việc khác hoặc giúp giảm tuyển)</x:t>
  </x:si>
  <x:si>
    <x:t xml:space="preserve">giờ</x:t>
  </x:si>
  <x:si>
    <x:t xml:space="preserve">Chỉ tính giờ được dùng vào việc khác hoặc giúp giảm tuyển. Đo bằng thử nghiệm. Bản mẫu: 5 / 3 / 1,5.</x:t>
  </x:si>
  <x:si>
    <x:t xml:space="preserve">Tỷ lệ người dùng thật</x:t>
  </x:si>
  <x:si>
    <x:t xml:space="preserve">Người dùng đều đặn ÷ tổng số người. Bản mẫu: 80% / 60% / 35%.</x:t>
  </x:si>
  <x:si>
    <x:t xml:space="preserve">Chi phí 1 giờ công (gồm phúc lợi)</x:t>
  </x:si>
  <x:si>
    <x:t xml:space="preserve">Lương + bảo hiểm + phúc lợi ÷ số giờ làm. Bản mẫu: 120.000.</x:t>
  </x:si>
  <x:si>
    <x:t xml:space="preserve">Giá trị khác / tháng (doanh thu tăng, giảm lỗi…)</x:t>
  </x:si>
  <x:si>
    <x:t xml:space="preserve">Chỉ đưa vào nếu đo được. Bản mẫu: 10 / 5 / 0 triệu.</x:t>
  </x:si>
  <x:si>
    <x:t xml:space="preserve">Chi phí xây dựng một lần</x:t>
  </x:si>
  <x:si>
    <x:t xml:space="preserve">VND (một lần)</x:t>
  </x:si>
  <x:si>
    <x:t xml:space="preserve">Bản mẫu: 400 / 400 / 500 triệu.</x:t>
  </x:si>
  <x:si>
    <x:t xml:space="preserve">Chi phí thay đổi quy trình &amp; đào tạo (một lần)</x:t>
  </x:si>
  <x:si>
    <x:t xml:space="preserve">Khoản hay bị quên. Bản mẫu: 50 / 60 / 80 triệu.</x:t>
  </x:si>
  <x:si>
    <x:t xml:space="preserve">Chi phí vận hành / tháng (API, hạ tầng, bảo trì)</x:t>
  </x:si>
  <x:si>
    <x:t xml:space="preserve">Gọi AI + hạ tầng + bảo trì. Bản mẫu: 15 / 18 / 25 triệu.</x:t>
  </x:si>
  <x:si>
    <x:t xml:space="preserve">Giả định của lớp: chi phí vốn</x:t>
  </x:si>
  <x:si>
    <x:t xml:space="preserve">Kết quả</x:t>
  </x:si>
  <x:si>
    <x:t xml:space="preserve">Giá trị tạo ra / tháng</x:t>
  </x:si>
  <x:si>
    <x:t xml:space="preserve">Lợi ích ròng / tháng</x:t>
  </x:si>
  <x:si>
    <x:t xml:space="preserve">Đầu tư một lần</x:t>
  </x:si>
  <x:si>
    <x:t xml:space="preserve">Thời gian hoàn vốn</x:t>
  </x:si>
  <x:si>
    <x:t xml:space="preserve">Hiệu quả đầu tư sau 12 tháng (ROI)</x:t>
  </x:si>
  <x:si>
    <x:t xml:space="preserve">Giá trị hiện tại ròng 24 tháng</x:t>
  </x:si>
  <x:si>
    <x:t xml:space="preserve">Đánh giá nhanh</x:t>
  </x:si>
  <x:si>
    <x:t xml:space="preserve">Hoàn vốn dưới 12 tháng: Làm · hoàn vốn được nhưng chậm: thử ở 1 phòng ban để đo tỷ lệ người dùng thật · không hoàn vốn: Dừng</x:t>
  </x:si>
  <x:si>
    <x:t xml:space="preserve">7 · Tự kiểm tra và ghi chú quyết định</x:t>
  </x:si>
  <x:si>
    <x:t xml:space="preserve">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x:t>
  </x:si>
  <x:si>
    <x:t xml:space="preserve">Điểm kiểm tra</x:t>
  </x:si>
  <x:si>
    <x:t xml:space="preserve">Kết quả (cơ sở)</x:t>
  </x:si>
  <x:si>
    <x:t xml:space="preserve">Đạt?</x:t>
  </x:si>
  <x:si>
    <x:t xml:space="preserve">Phần chìm ≥ 30% chi phí gọi AI</x:t>
  </x:si>
  <x:si>
    <x:t xml:space="preserve">Biên lợi nhuận gộp bình quân ≥ 60% (gói kết hợp)</x:t>
  </x:si>
  <x:si>
    <x:t xml:space="preserve">LTV ÷ CAC &gt; 3 (cơ sở)</x:t>
  </x:si>
  <x:si>
    <x:t xml:space="preserve">Hoàn vốn chi phí có khách &lt; 12 tháng (cơ sở)</x:t>
  </x:si>
  <x:si>
    <x:t xml:space="preserve">Kịch bản xấu: rời bỏ và chi phí có khách đủ sốc (≥ 1,5 lần)</x:t>
  </x:si>
  <x:si>
    <x:t xml:space="preserve">Kịch bản xấu: tháng hết tiền</x:t>
  </x:si>
  <x:si>
    <x:t xml:space="preserve">Giá trị hiện tại ròng 24 tháng (cơ sở)</x:t>
  </x:si>
  <x:si>
    <x:t xml:space="preserve">Biến nguy hiểm nhất (bảng độ nhạy, trang 5)</x:t>
  </x:si>
  <x:si>
    <x:t xml:space="preserve">GHI CHÚ QUYẾT ĐỊNH: 5 câu, mỗi câu 1–3 câu văn, cả phần khoảng 200 chữ. Nhóm viết vào ô vàng dưới mỗi câu hỏi.</x:t>
  </x:si>
  <x:si>
    <x:t xml:space="preserve">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x:t>
  </x:si>
  <x:si>
    <x:t xml:space="preserve">2. Giá bán và cách tính tiền đã chọn — vì sao khách chấp nhận mức đó?</x:t>
  </x:si>
  <x:si>
    <x:t xml:space="preserve">3. Biến số nguy hiểm nhất (theo bảng độ nhạy ở trang 5) và cách theo dõi.</x:t>
  </x:si>
  <x:si>
    <x:t xml:space="preserve">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x:t>
  </x:si>
  <x:si>
    <x:t xml:space="preserve">5. Mức cảnh báo tự tính (trang 5, dòng 72–77) đã điền vào bảng theo dõi Ngày 23 thế nào? Chưa có bảng Ngày 23: chép các mức đó, ghi mức nào là "nguy", mức nào "đáng lo", và ai theo dõi hằng tuần.</x:t>
  </x:si>
  <x:si>
    <x:t xml:space="preserve">8 · Thang điểm (100 điểm)</x:t>
  </x:si>
  <x:si>
    <x:t xml:space="preserve">Trừ điểm: số bịa không có nguồn, chỉ 1 kịch bản, nhầm doanh thu với lợi nhuận.</x:t>
  </x:si>
  <x:si>
    <x:t xml:space="preserve">Tiêu chí</x:t>
  </x:si>
  <x:si>
    <x:t xml:space="preserve">Điểm</x:t>
  </x:si>
  <x:si>
    <x:t xml:space="preserve">Bài đạt khi</x:t>
  </x:si>
  <x:si>
    <x:t xml:space="preserve">Điểm (giảng viên chấm, nhóm không điền)</x:t>
  </x:si>
  <x:si>
    <x:t xml:space="preserve">Bài tập tài chính căn bản</x:t>
  </x:si>
  <x:si>
    <x:t xml:space="preserve">Ba báo cáo đúng và khớp: bảng cân đối cân, tiền cuối kỳ khớp, trả lời đúng câu 1–3</x:t>
  </x:si>
  <x:si>
    <x:t xml:space="preserve">Chi phí mỗi việc đầy đủ</x:t>
  </x:si>
  <x:si>
    <x:t xml:space="preserve">≥ 4 nhóm chi phí; chỉ gồm chi phí phục vụ (không lẫn R&amp;D, bán hàng); có tên mô hình và ngày tra giá</x:t>
  </x:si>
  <x:si>
    <x:t xml:space="preserve">Giá sống được trong mô hình</x:t>
  </x:si>
  <x:si>
    <x:t xml:space="preserve">Giá lấy từ bài Ngày 22 và qua ba phép thử: neo lương 50–70%, tiền AI của khách dùng nhiều, biên sau chia đối tác</x:t>
  </x:si>
  <x:si>
    <x:t xml:space="preserve">Chỉ số trên mỗi khách</x:t>
  </x:si>
  <x:si>
    <x:t xml:space="preserve">Công thức đúng; LTV tính trên lợi nhuận gộp; tỷ lệ rời bỏ và chi phí có khách có nguồn hoặc lý do rõ</x:t>
  </x:si>
  <x:si>
    <x:t xml:space="preserve">3 kịch bản và độ nhạy</x:t>
  </x:si>
  <x:si>
    <x:t xml:space="preserve">Kịch bản xấu là cú sốc thật; đọc bảng độ nhạy và chỉ ra biến số nguy hiểm nhất</x:t>
  </x:si>
  <x:si>
    <x:t xml:space="preserve">Ghi chú quyết định và mức cảnh báo</x:t>
  </x:si>
  <x:si>
    <x:t xml:space="preserve">Quyết định rõ, bảo vệ bằng số; luật xử lý theo khuôn Ngày 23; mức cảnh báo tự tính đưa vào bảng Ngày 23</x:t>
  </x:si>
  <x:si>
    <x:t xml:space="preserve">TỔNG</x:t>
  </x:si>
  <x:si>
    <x:t xml:space="preserve">Điểm thưởng: dùng số thật từ buổi trước (trang 0)</x:t>
  </x:si>
  <x:si>
    <x:t xml:space="preserve">tối đa 10</x:t>
  </x:si>
  <x:si>
    <x:t xml:space="preserve">2 điểm/đầu vào đã có và thật sự được dùng; tổng điểm không quá 100</x:t>
  </x:si>
  <x:si>
    <x:t xml:space="preserve">THANG ĐIỂM TRÌNH BÀY (1–5 điểm mỗi tiêu chí)</x:t>
  </x:si>
  <x:si>
    <x:t xml:space="preserve">Mức 1</x:t>
  </x:si>
  <x:si>
    <x:t xml:space="preserve">Mức 3</x:t>
  </x:si>
  <x:si>
    <x:t xml:space="preserve">Mức 5</x:t>
  </x:si>
  <x:si>
    <x:t xml:space="preserve">Rõ ràng</x:t>
  </x:si>
  <x:si>
    <x:t xml:space="preserve">Câu đầu chưa có quyết định; người nghe phải đoán nhóm đề xuất gì</x:t>
  </x:si>
  <x:si>
    <x:t xml:space="preserve">Có quyết định nhưng nói sau phần mở đầu, hoặc thiếu giá bán</x:t>
  </x:si>
  <x:si>
    <x:t xml:space="preserve">Câu đầu tiên có quyết định, giá bán và 1 lý do</x:t>
  </x:si>
  <x:si>
    <x:t xml:space="preserve">Bằng chứng</x:t>
  </x:si>
  <x:si>
    <x:t xml:space="preserve">Con số không có nguồn, hoặc chỉ có kịch bản cơ sở</x:t>
  </x:si>
  <x:si>
    <x:t xml:space="preserve">Có số chính và nguồn, nhưng thiếu kịch bản xấu hoặc biến nguy hiểm nhất</x:t>
  </x:si>
  <x:si>
    <x:t xml:space="preserve">Đủ chi phí mỗi việc, biên lợi nhuận, LTV ÷ CAC, kịch bản xấu; số nào cũng có nguồn hoặc lý do</x:t>
  </x:si>
  <x:si>
    <x:t xml:space="preserve">Trả lời phản biện</x:t>
  </x:si>
  <x:si>
    <x:t xml:space="preserve">Né câu hỏi hoặc trả lời chung chung</x:t>
  </x:si>
  <x:si>
    <x:t xml:space="preserve">Trả lời đúng ý nhưng không dẫn số</x:t>
  </x:si>
  <x:si>
    <x:t xml:space="preserve">Trả lời thẳng, dẫn đúng con số trong file</x:t>
  </x:si>
  <x:si>
    <x:t xml:space="preserve">Đúng giờ</x:t>
  </x:si>
  <x:si>
    <x:t xml:space="preserve">Quá 4 phút</x:t>
  </x:si>
  <x:si>
    <x:t xml:space="preserve">Từ 3 đến 4 phút</x:t>
  </x:si>
  <x:si>
    <x:t xml:space="preserve">Không quá 3 phút</x:t>
  </x:si>
  <x:si>
    <x:t xml:space="preserve">Mức 2 và 4 dùng khi bài nằm giữa hai mô tả. Điểm buổi = 60% sản phẩm + 40% trình bày (60% giảng viên + 40% các nhóm khác chấm, không tự chấm nhóm mình).</x:t>
  </x:si>
  <x:si>
    <x:t xml:space="preserve">9 · Số tham khảo đã kiểm chứng (tra ngày 04/10/2026)</x:t>
  </x:si>
  <x:si>
    <x:t xml:space="preserve">Giá thay đổi thường xuyên: trước khi dùng, mở lại đường dẫn và ghi ngày tra của nhóm. Số nào không có trong bảng, nhóm tự tìm nguồn hoặc ghi lý do.</x:t>
  </x:si>
  <x:si>
    <x:t xml:space="preserve">Mô hình AI</x:t>
  </x:si>
  <x:si>
    <x:t xml:space="preserve">Đầu vào (USD / 1 triệu token)</x:t>
  </x:si>
  <x:si>
    <x:t xml:space="preserve">Đầu ra (USD / 1 triệu token)</x:t>
  </x:si>
  <x:si>
    <x:t xml:space="preserve">Nguồn chính thức</x:t>
  </x:si>
  <x:si>
    <x:t xml:space="preserve">OpenAI GPT-6 Luna</x:t>
  </x:si>
  <x:si>
    <x:t xml:space="preserve">https://developers.openai.com/api/docs/pricing</x:t>
  </x:si>
  <x:si>
    <x:t xml:space="preserve">Mức Standard, ngữ cảnh ngắn</x:t>
  </x:si>
  <x:si>
    <x:t xml:space="preserve">OpenAI GPT-6 Sol</x:t>
  </x:si>
  <x:si>
    <x:t xml:space="preserve">https://openai.com/index/introducing-gpt-6-sol-and-luna/</x:t>
  </x:si>
  <x:si>
    <x:t xml:space="preserve">Mức Standard</x:t>
  </x:si>
  <x:si>
    <x:t xml:space="preserve">Anthropic Claude Haiku 4.5</x:t>
  </x:si>
  <x:si>
    <x:t xml:space="preserve">https://platform.claude.com/docs/en/models/haiku-4-5/overview</x:t>
  </x:si>
  <x:si>
    <x:t xml:space="preserve">Anthropic Claude Sonnet 5.5</x:t>
  </x:si>
  <x:si>
    <x:t xml:space="preserve">Bảng so sánh trên cùng trang</x:t>
  </x:si>
  <x:si>
    <x:t xml:space="preserve">Số liệu Việt Nam</x:t>
  </x:si>
  <x:si>
    <x:t xml:space="preserve">Nguồn</x:t>
  </x:si>
  <x:si>
    <x:t xml:space="preserve">Tỷ giá USD bán ra Vietcombank</x:t>
  </x:si>
  <x:si>
    <x:t xml:space="preserve">https://thanhnien.vn/gia-usd-hom-nay-4102026-bien-dong-nhe-trong-tuan-khi-euro-bang-anh-tiep-tuc-giam-185261003210750485.htm</x:t>
  </x:si>
  <x:si>
    <x:t xml:space="preserve">Báo chí đưa tin sáng 04/10/2026; đối chiếu trang Vietcombank khi dùng</x:t>
  </x:si>
  <x:si>
    <x:t xml:space="preserve">Tỷ giá trung tâm Ngân hàng Nhà nước</x:t>
  </x:si>
  <x:si>
    <x:t xml:space="preserve">https://qdnd.vn/kinh-te/tin-tuc/ty-gia-usd-hom-nay-4-10-dong-usd-tang-tuan-thu-ba-lien-tiep-1059250</x:t>
  </x:si>
  <x:si>
    <x:t xml:space="preserve">Báo QĐND đưa tin ngày 04/10/2026</x:t>
  </x:si>
  <x:si>
    <x:t xml:space="preserve">Lương tối thiểu tháng, vùng I (Hà Nội, TP.HCM)</x:t>
  </x:si>
  <x:si>
    <x:t xml:space="preserve">https://xaydungchinhsach.chinhphu.vn/tu-1-1-2026-muc-luong-toi-thieu-duoc-tang-bao-nhieu-119251111091442629.htm</x:t>
  </x:si>
  <x:si>
    <x:t xml:space="preserve">Nghị định 293/2025/NĐ-CP, hiệu lực 01/01/2026</x:t>
  </x:si>
  <x:si>
    <x:t xml:space="preserve">Lương tối thiểu giờ, vùng I</x:t>
  </x:si>
  <x:si>
    <x:t xml:space="preserve">Nghị định 293/2025/NĐ-CP; là mức sàn, chưa gồm bảo hiểm</x:t>
  </x:si>
  <x:si>
    <x:t xml:space="preserve">Số KHÔNG có trong bảng</x:t>
  </x:si>
  <x:si>
    <x:t xml:space="preserve">Cách xử lý</x:t>
  </x:si>
  <x:si>
    <x:t xml:space="preserve">Tỷ lệ rời bỏ, chi phí có một khách của SME Việt Nam</x:t>
  </x:si>
  <x:si>
    <x:t xml:space="preserve">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x:t>
  </x:si>
  <x:si>
    <x:t xml:space="preserve">LTV ÷ CAC &gt; 3, hoàn vốn chi phí có khách &lt; 12 tháng</x:t>
  </x:si>
  <x:si>
    <x:t xml:space="preserve">Ngưỡng tham khảo phổ biến trong ngành phần mềm thuê bao; lớp chưa kiểm chứng nguồn sơ cấp. Dùng để đọc kết quả, không phải luật.</x:t>
  </x:si>
  <x:si>
    <x:t xml:space="preserve">Giá sàn gấp 3 lần chi phí mỗi việc; phần chìm ≥ 30% chi phí gọi AI</x:t>
  </x:si>
  <x:si>
    <x:t xml:space="preserve">Kinh nghiệm của giảng viên, không phải chuẩn ngành.</x:t>
  </x:si>
  <x:si>
    <x:t xml:space="preserve">Ngưỡng nghe ở Ngày 22–23</x:t>
  </x:si>
  <x:si>
    <x:t xml:space="preserve">Cách dùng hôm nay</x:t>
  </x:si>
  <x:si>
    <x:t xml:space="preserve">Biên lợi nhuận gộp ≥ 60%, dưới 50% là nguy (Ngày 22, slide 8)</x:t>
  </x:si>
  <x:si>
    <x:t xml:space="preserve">Diễn giả nêu, không kèm nguồn. Ngày 23 (slide 34) dẫn số thực đo của công ty AI chỉ 45–53% — chưa kiểm chứng. Dùng mức tối thiểu tự tính ở trang 5.</x:t>
  </x:si>
  <x:si>
    <x:t xml:space="preserve">Neo giá ở 50–70% lương người được thay (Ngày 22, slide 9)</x:t>
  </x:si>
  <x:si>
    <x:t xml:space="preserve">Kinh nghiệm diễn giả. Dùng làm phép thử ở trang 2, không phải luật.</x:t>
  </x:si>
  <x:si>
    <x:t xml:space="preserve">Ranh giới bán tự phục vụ dưới 50 USD, bán trực tiếp trên 1.000 USD mỗi tháng (Ngày 22, slide 17–18)</x:t>
  </x:si>
  <x:si>
    <x:t xml:space="preserve">Ngưỡng của thị trường Mỹ. Ranh giới của nhóm là chi phí có một khách tối đa tự tính ở trang 5.</x:t>
  </x:si>
  <x:si>
    <x:t xml:space="preserve">GitHub Copilot thu 10 USD, chi 80 USD, lỗ 70 USD mỗi người (Ngày 22, slide 3)</x:t>
  </x:si>
  <x:si>
    <x:t xml:space="preserve">WSJ 10/2023 đưa tin lỗ trung bình khoảng 20 USD/người/tháng; 80 USD là mức của một số người dùng nặng. Theo bản tóm tắt của AI Business, chưa đọc bài gốc WSJ.</x:t>
  </x:si>
  <x:si>
    <x:t xml:space="preserve">Nhãn nguồn [NGÀNH] · [TỰ TÍNH] · [TỰ ĐO] (Ngày 23, slide 11)</x:t>
  </x:si>
  <x:si>
    <x:t xml:space="preserve">Dùng ba nhãn này trong cột "Nguồn / lý do". Số chưa có nguồn, chưa đo: ghi "Giả định: … vì …", không gắn [NGÀNH].</x:t>
  </x:si>
</x:sst>
</file>

<file path=xl/styles.xml><?xml version="1.0" encoding="utf-8"?>
<x:styleSheet xmlns:x="http://schemas.openxmlformats.org/spreadsheetml/2006/main">
  <x:numFmts count="8">
    <x:numFmt numFmtId="164" formatCode="#,##0;[Red]\-#,##0"/>
    <x:numFmt numFmtId="165" formatCode="#,##0.0;[Red]\-#,##0.0"/>
    <x:numFmt numFmtId="166" formatCode="#,##0.##"/>
    <x:numFmt numFmtId="167" formatCode="0.0%"/>
    <x:numFmt numFmtId="168" formatCode="0.0&quot; tháng&quot;"/>
    <x:numFmt numFmtId="169" formatCode="0.00\x"/>
    <x:numFmt numFmtId="170" formatCode="#,##0.0"/>
    <x:numFmt numFmtId="171" formatCode="&quot;Tháng &quot;0"/>
  </x:numFmts>
  <x:fonts count="13">
    <x:font>
      <x:sz val="11"/>
      <x:color theme="1"/>
      <x:name val="Calibri"/>
      <x:family val="2"/>
    </x:font>
    <x:font>
      <x:b/>
      <x:sz val="14"/>
      <x:name val="Cambria"/>
      <x:family val="1"/>
    </x:font>
    <x:font>
      <x:i/>
      <x:sz val="11"/>
      <x:color rgb="FF595959"/>
      <x:name val="Cambria"/>
      <x:family val="1"/>
    </x:font>
    <x:font>
      <x:b/>
      <x:sz val="11"/>
      <x:name val="Cambria"/>
      <x:family val="1"/>
    </x:font>
    <x:font>
      <x:i/>
      <x:sz val="11"/>
      <x:color rgb="FF595959"/>
      <x:name val="Calibri"/>
      <x:family val="2"/>
    </x:font>
    <x:font>
      <x:b/>
      <x:sz val="11"/>
      <x:color rgb="FFFFFFFF"/>
      <x:name val="Cambria"/>
      <x:family val="1"/>
    </x:font>
    <x:font>
      <x:i/>
      <x:sz val="10"/>
      <x:color rgb="FF595959"/>
      <x:name val="Calibri"/>
      <x:family val="2"/>
    </x:font>
    <x:font>
      <x:sz val="11"/>
      <x:name val="Calibri"/>
      <x:family val="2"/>
    </x:font>
    <x:font>
      <x:b/>
      <x:sz val="11"/>
      <x:name val="Calibri"/>
      <x:family val="2"/>
    </x:font>
    <x:font>
      <x:b/>
      <x:sz val="11"/>
      <x:color rgb="FFC00000"/>
      <x:name val="Calibri"/>
      <x:family val="2"/>
    </x:font>
    <x:font>
      <x:b/>
      <x:sz val="12"/>
      <x:name val="Cambria"/>
      <x:family val="1"/>
    </x:font>
    <x:font>
      <x:b/>
      <x:sz val="11"/>
      <x:color rgb="FFC00000"/>
      <x:name val="Cambria"/>
      <x:family val="1"/>
    </x:font>
    <x:font>
      <x:sz val="10"/>
      <x:color rgb="FF808080"/>
      <x:name val="Calibri"/>
      <x:family val="2"/>
    </x:font>
  </x:fonts>
  <x:fills count="6">
    <x:fill>
      <x:patternFill patternType="none"/>
    </x:fill>
    <x:fill>
      <x:patternFill patternType="gray125"/>
    </x:fill>
    <x:fill>
      <x:patternFill patternType="solid">
        <x:fgColor rgb="FFFFF2CC"/>
      </x:patternFill>
    </x:fill>
    <x:fill>
      <x:patternFill patternType="solid">
        <x:fgColor rgb="FFE2EFDA"/>
      </x:patternFill>
    </x:fill>
    <x:fill>
      <x:patternFill patternType="solid">
        <x:fgColor rgb="FF1F3864"/>
      </x:patternFill>
    </x:fill>
    <x:fill>
      <x:patternFill patternType="solid">
        <x:fgColor rgb="FFD9E1F2"/>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114">
    <x:xf numFmtId="0" fontId="0" fillId="0" borderId="0" xfId="0"/>
    <x:xf numFmtId="0" fontId="7" fillId="0" borderId="0" xfId="0" applyFont="1" applyAlignment="1">
      <x:alignment vertical="top" wrapText="1"/>
    </x:xf>
    <x:xf numFmtId="0" fontId="0" fillId="2" borderId="0" xfId="0" applyFill="1" applyAlignment="1" applyProtection="1">
      <x:alignment wrapText="1"/>
      <x:protection locked="0"/>
    </x:xf>
    <x:xf numFmtId="0" fontId="10" fillId="0" borderId="0" xfId="0" applyFont="1" applyAlignment="1">
      <x:alignment vertical="top" wrapText="1"/>
    </x:xf>
    <x:xf numFmtId="0" fontId="2" fillId="0" borderId="0" xfId="0" applyFont="1" applyAlignment="1">
      <x:alignment vertical="top" wrapText="1"/>
    </x:xf>
    <x:xf numFmtId="0" fontId="7" fillId="3" borderId="1" xfId="0" applyFont="1" applyFill="1" applyBorder="1"/>
    <x:xf numFmtId="0" fontId="7" fillId="0" borderId="1" xfId="0" applyFont="1" applyBorder="1"/>
    <x:xf numFmtId="0" fontId="5" fillId="4" borderId="0" xfId="0" applyFont="1" applyFill="1" applyAlignment="1">
      <x:alignment vertical="center" wrapText="1"/>
    </x:xf>
    <x:xf numFmtId="0" fontId="9" fillId="0" borderId="0" xfId="0" applyFont="1" applyAlignment="1">
      <x:alignment vertical="top" wrapText="1"/>
    </x:xf>
    <x:xf numFmtId="0" fontId="7" fillId="2" borderId="1" xfId="0" applyFont="1" applyFill="1" applyBorder="1" applyAlignment="1" applyProtection="1">
      <x:alignment vertical="top" wrapText="1"/>
      <x:protection locked="0"/>
    </x:xf>
    <x:xf numFmtId="0" fontId="3" fillId="0" borderId="0" xfId="0" applyFont="1" applyAlignment="1">
      <x:alignment vertical="top" wrapText="1"/>
    </x:xf>
    <x:xf numFmtId="0" fontId="6" fillId="0" borderId="0" xfId="0" applyFont="1" applyAlignment="1">
      <x:alignment vertical="top" wrapText="1"/>
    </x:xf>
    <x:xf numFmtId="0" fontId="1" fillId="0" borderId="0" xfId="0" applyFont="1"/>
    <x:xf numFmtId="0" fontId="2" fillId="0" borderId="0" xfId="0" applyFont="1" applyAlignment="1">
      <x:alignment vertical="top" wrapText="1"/>
    </x:xf>
    <x:xf numFmtId="0" fontId="0" fillId="0" borderId="0" xfId="0" applyAlignment="1">
      <x:alignment vertical="top" wrapText="1"/>
    </x:xf>
    <x:xf numFmtId="0" fontId="3" fillId="0" borderId="0" xfId="0" applyFont="1"/>
    <x:xf numFmtId="0" fontId="0" fillId="2" borderId="0" xfId="0" applyFill="1"/>
    <x:xf numFmtId="0" fontId="0" fillId="3" borderId="0" xfId="0" applyFill="1"/>
    <x:xf numFmtId="0" fontId="4" fillId="0" borderId="0" xfId="0" applyFont="1" applyAlignment="1">
      <x:alignment vertical="top" wrapText="1"/>
    </x:xf>
    <x:xf numFmtId="0" fontId="2" fillId="0" borderId="0" xfId="0" applyFont="1"/>
    <x:xf numFmtId="0" fontId="5" fillId="4" borderId="0" xfId="0" applyFont="1" applyFill="1" applyAlignment="1">
      <x:alignment wrapText="1"/>
    </x:xf>
    <x:xf numFmtId="0" fontId="0" fillId="0" borderId="1" xfId="0" applyBorder="1" applyAlignment="1">
      <x:alignment vertical="top" wrapText="1"/>
    </x:xf>
    <x:xf numFmtId="0" fontId="0" fillId="2" borderId="1" xfId="0" applyFill="1" applyBorder="1" applyAlignment="1" applyProtection="1">
      <x:alignment vertical="top" wrapText="1"/>
      <x:protection locked="0"/>
    </x:xf>
    <x:xf numFmtId="0" fontId="6" fillId="0" borderId="0" xfId="0" applyFont="1" applyAlignment="1">
      <x:alignment vertical="top" wrapText="1"/>
    </x:xf>
    <x:xf numFmtId="0" fontId="5" fillId="4" borderId="0" xfId="0" applyFont="1" applyFill="1" applyAlignment="1">
      <x:alignment vertical="center" wrapText="1"/>
    </x:xf>
    <x:xf numFmtId="0" fontId="7" fillId="0" borderId="1" xfId="0" applyFont="1" applyBorder="1" applyAlignment="1">
      <x:alignment horizontal="center" vertical="center"/>
    </x:xf>
    <x:xf numFmtId="0" fontId="7" fillId="0" borderId="1" xfId="0" applyFont="1" applyBorder="1" applyAlignment="1">
      <x:alignment vertical="center"/>
    </x:xf>
    <x:xf numFmtId="164" fontId="7" fillId="0" borderId="1" xfId="0" applyNumberFormat="1" applyFont="1" applyBorder="1" applyAlignment="1">
      <x:alignment vertical="center"/>
    </x:xf>
    <x:xf numFmtId="0" fontId="7" fillId="0" borderId="1" xfId="0" applyFont="1" applyBorder="1" applyAlignment="1">
      <x:alignment vertical="center" wrapText="1"/>
    </x:xf>
    <x:xf numFmtId="0" fontId="7" fillId="2" borderId="1" xfId="0" applyFont="1" applyFill="1" applyBorder="1" applyAlignment="1" applyProtection="1">
      <x:alignment vertical="center" wrapText="1"/>
      <x:protection locked="0"/>
    </x:xf>
    <x:xf numFmtId="0" fontId="3" fillId="0" borderId="0" xfId="0" applyFont="1" applyAlignment="1">
      <x:alignment vertical="top" wrapText="1"/>
    </x:xf>
    <x:xf numFmtId="0" fontId="7" fillId="0" borderId="1" xfId="0" applyFont="1" applyBorder="1"/>
    <x:xf numFmtId="164" fontId="7" fillId="2" borderId="1" xfId="0" applyNumberFormat="1" applyFont="1" applyFill="1" applyBorder="1" applyProtection="1">
      <x:protection locked="0"/>
    </x:xf>
    <x:xf numFmtId="164" fontId="7" fillId="3" borderId="1" xfId="0" applyNumberFormat="1" applyFont="1" applyFill="1" applyBorder="1"/>
    <x:xf numFmtId="0" fontId="8" fillId="0" borderId="1" xfId="0" applyFont="1" applyBorder="1"/>
    <x:xf numFmtId="164" fontId="8" fillId="3" borderId="1" xfId="0" applyNumberFormat="1" applyFont="1" applyFill="1" applyBorder="1"/>
    <x:xf numFmtId="0" fontId="7" fillId="3" borderId="1" xfId="0" applyFont="1" applyFill="1" applyBorder="1"/>
    <x:xf numFmtId="9" fontId="7" fillId="3" borderId="1" xfId="0" applyNumberFormat="1" applyFont="1" applyFill="1" applyBorder="1"/>
    <x:xf numFmtId="0" fontId="8" fillId="0" borderId="1" xfId="0" applyFont="1" applyBorder="1" applyAlignment="1">
      <x:alignment vertical="top" wrapText="1"/>
    </x:xf>
    <x:xf numFmtId="0" fontId="8" fillId="3" borderId="1" xfId="0" applyFont="1" applyFill="1" applyBorder="1" applyAlignment="1">
      <x:alignment vertical="top" wrapText="1"/>
    </x:xf>
    <x:xf numFmtId="0" fontId="8" fillId="3" borderId="1" xfId="0" applyFont="1" applyFill="1" applyBorder="1"/>
    <x:xf numFmtId="0" fontId="7" fillId="0" borderId="1" xfId="0" applyFont="1" applyBorder="1" applyAlignment="1">
      <x:alignment vertical="top" wrapText="1"/>
    </x:xf>
    <x:xf numFmtId="164" fontId="7" fillId="0" borderId="1" xfId="0" applyNumberFormat="1" applyFont="1" applyBorder="1"/>
    <x:xf numFmtId="9" fontId="7" fillId="0" borderId="1" xfId="0" applyNumberFormat="1" applyFont="1" applyBorder="1"/>
    <x:xf numFmtId="165" fontId="7" fillId="2" borderId="1" xfId="0" applyNumberFormat="1" applyFont="1" applyFill="1" applyBorder="1" applyProtection="1">
      <x:protection locked="0"/>
    </x:xf>
    <x:xf numFmtId="0" fontId="7" fillId="2" borderId="1" xfId="0" applyFont="1" applyFill="1" applyBorder="1" applyProtection="1">
      <x:protection locked="0"/>
    </x:xf>
    <x:xf numFmtId="0" fontId="0" fillId="0" borderId="1" xfId="0" applyBorder="1" applyAlignment="1">
      <x:alignment vertical="center"/>
    </x:xf>
    <x:xf numFmtId="0" fontId="0" fillId="2" borderId="0" xfId="0" applyFill="1" applyAlignment="1" applyProtection="1">
      <x:alignment vertical="center"/>
      <x:protection locked="0"/>
    </x:xf>
    <x:xf numFmtId="0" fontId="0" fillId="0" borderId="0" xfId="0" applyAlignment="1">
      <x:alignment vertical="center"/>
    </x:xf>
    <x:xf numFmtId="0" fontId="0" fillId="2" borderId="0" xfId="0" applyFill="1" applyAlignment="1" applyProtection="1">
      <x:alignment vertical="center" wrapText="1"/>
      <x:protection locked="0"/>
    </x:xf>
    <x:xf numFmtId="0" fontId="6" fillId="0" borderId="0" xfId="0" applyFont="1" applyAlignment="1">
      <x:alignment vertical="center" wrapText="1"/>
    </x:xf>
    <x:xf numFmtId="166" fontId="0" fillId="2" borderId="1" xfId="0" applyNumberFormat="1" applyFill="1" applyBorder="1" applyAlignment="1" applyProtection="1">
      <x:alignment vertical="center"/>
      <x:protection locked="0"/>
    </x:xf>
    <x:xf numFmtId="167" fontId="0" fillId="2" borderId="1" xfId="0" applyNumberFormat="1" applyFill="1" applyBorder="1" applyAlignment="1" applyProtection="1">
      <x:alignment vertical="center"/>
      <x:protection locked="0"/>
    </x:xf>
    <x:xf numFmtId="0" fontId="0" fillId="0" borderId="1" xfId="0" applyBorder="1"/>
    <x:xf numFmtId="164" fontId="0" fillId="3" borderId="1" xfId="0" applyNumberFormat="1" applyFill="1" applyBorder="1"/>
    <x:xf numFmtId="164" fontId="3" fillId="3" borderId="1" xfId="0" applyNumberFormat="1" applyFont="1" applyFill="1" applyBorder="1"/>
    <x:xf numFmtId="167" fontId="0" fillId="3" borderId="1" xfId="0" applyNumberFormat="1" applyFill="1" applyBorder="1"/>
    <x:xf numFmtId="0" fontId="6" fillId="0" borderId="0" xfId="0" applyFont="1"/>
    <x:xf numFmtId="0" fontId="0" fillId="2" borderId="0" xfId="0" applyFill="1" applyAlignment="1" applyProtection="1">
      <x:alignment wrapText="1"/>
      <x:protection locked="0"/>
    </x:xf>
    <x:xf numFmtId="0" fontId="7" fillId="2" borderId="0" xfId="0" applyFont="1" applyFill="1" applyProtection="1">
      <x:protection locked="0"/>
    </x:xf>
    <x:xf numFmtId="164" fontId="0" fillId="2" borderId="1" xfId="0" applyNumberFormat="1" applyFill="1" applyBorder="1" applyProtection="1">
      <x:protection locked="0"/>
    </x:xf>
    <x:xf numFmtId="0" fontId="5" fillId="4" borderId="0" xfId="0" applyFont="1" applyFill="1" applyAlignment="1">
      <x:alignment vertical="top" wrapText="1"/>
    </x:xf>
    <x:xf numFmtId="167" fontId="0" fillId="2" borderId="1" xfId="0" applyNumberFormat="1" applyFill="1" applyBorder="1" applyProtection="1">
      <x:protection locked="0"/>
    </x:xf>
    <x:xf numFmtId="3" fontId="0" fillId="2" borderId="1" xfId="0" applyNumberFormat="1" applyFill="1" applyBorder="1" applyProtection="1">
      <x:protection locked="0"/>
    </x:xf>
    <x:xf numFmtId="3" fontId="0" fillId="3" borderId="1" xfId="0" applyNumberFormat="1" applyFill="1" applyBorder="1"/>
    <x:xf numFmtId="167" fontId="3" fillId="3" borderId="1" xfId="0" applyNumberFormat="1" applyFont="1" applyFill="1" applyBorder="1"/>
    <x:xf numFmtId="0" fontId="0" fillId="3" borderId="1" xfId="0" applyFill="1" applyBorder="1"/>
    <x:xf numFmtId="9" fontId="7" fillId="2" borderId="1" xfId="0" applyNumberFormat="1" applyFont="1" applyFill="1" applyBorder="1" applyProtection="1">
      <x:protection locked="0"/>
    </x:xf>
    <x:xf numFmtId="0" fontId="7" fillId="3" borderId="1" xfId="0" applyFont="1" applyFill="1" applyBorder="1" applyAlignment="1">
      <x:alignment vertical="top" wrapText="1"/>
    </x:xf>
    <x:xf numFmtId="2" fontId="7" fillId="3" borderId="1" xfId="0" applyNumberFormat="1" applyFont="1" applyFill="1" applyBorder="1"/>
    <x:xf numFmtId="167" fontId="8" fillId="3" borderId="1" xfId="0" applyNumberFormat="1" applyFont="1" applyFill="1" applyBorder="1"/>
    <x:xf numFmtId="0" fontId="0" fillId="0" borderId="1" xfId="0" applyBorder="1" applyAlignment="1">
      <x:alignment vertical="center" wrapText="1"/>
    </x:xf>
    <x:xf numFmtId="2" fontId="0" fillId="2" borderId="1" xfId="0" applyNumberFormat="1" applyFill="1" applyBorder="1" applyAlignment="1" applyProtection="1">
      <x:alignment vertical="center"/>
      <x:protection locked="0"/>
    </x:xf>
    <x:xf numFmtId="0" fontId="7" fillId="2" borderId="0" xfId="0" applyFont="1" applyFill="1" applyAlignment="1" applyProtection="1">
      <x:alignment vertical="center" wrapText="1"/>
      <x:protection locked="0"/>
    </x:xf>
    <x:xf numFmtId="3" fontId="0" fillId="2" borderId="1" xfId="0" applyNumberFormat="1" applyFill="1" applyBorder="1" applyAlignment="1" applyProtection="1">
      <x:alignment vertical="center"/>
      <x:protection locked="0"/>
    </x:xf>
    <x:xf numFmtId="164" fontId="0" fillId="2" borderId="1" xfId="0" applyNumberFormat="1" applyFill="1" applyBorder="1" applyAlignment="1" applyProtection="1">
      <x:alignment vertical="center"/>
      <x:protection locked="0"/>
    </x:xf>
    <x:xf numFmtId="0" fontId="7" fillId="2" borderId="0" xfId="0" applyFont="1" applyFill="1" applyAlignment="1" applyProtection="1">
      <x:alignment vertical="center"/>
      <x:protection locked="0"/>
    </x:xf>
    <x:xf numFmtId="168" fontId="0" fillId="3" borderId="1" xfId="0" applyNumberFormat="1" applyFill="1" applyBorder="1"/>
    <x:xf numFmtId="169" fontId="3" fillId="3" borderId="1" xfId="0" applyNumberFormat="1" applyFont="1" applyFill="1" applyBorder="1"/>
    <x:xf numFmtId="0" fontId="3" fillId="3" borderId="1" xfId="0" applyFont="1" applyFill="1" applyBorder="1"/>
    <x:xf numFmtId="0" fontId="3" fillId="5" borderId="0" xfId="0" applyFont="1" applyFill="1"/>
    <x:xf numFmtId="170" fontId="0" fillId="0" borderId="0" xfId="0" applyNumberFormat="1"/>
    <x:xf numFmtId="164" fontId="0" fillId="0" borderId="0" xfId="0" applyNumberFormat="1"/>
    <x:xf numFmtId="0" fontId="10" fillId="0" borderId="0" xfId="0" applyFont="1"/>
    <x:xf numFmtId="171" fontId="0" fillId="3" borderId="1" xfId="0" applyNumberFormat="1" applyFill="1" applyBorder="1"/>
    <x:xf numFmtId="0" fontId="7" fillId="0" borderId="0" xfId="0" applyFont="1"/>
    <x:xf numFmtId="9" fontId="7" fillId="2" borderId="0" xfId="0" applyNumberFormat="1" applyFont="1" applyFill="1" applyProtection="1">
      <x:protection locked="0"/>
    </x:xf>
    <x:xf numFmtId="0" fontId="5" fillId="4" borderId="0" xfId="0" applyFont="1" applyFill="1" applyAlignment="1">
      <x:alignment horizontal="left" vertical="center" wrapText="1"/>
    </x:xf>
    <x:xf numFmtId="0" fontId="5" fillId="4" borderId="0" xfId="0" applyFont="1" applyFill="1" applyAlignment="1">
      <x:alignment horizontal="center" vertical="center" wrapText="1"/>
    </x:xf>
    <x:xf numFmtId="0" fontId="7" fillId="0" borderId="0" xfId="0" applyFont="1" applyAlignment="1">
      <x:alignment horizontal="center"/>
    </x:xf>
    <x:xf numFmtId="164" fontId="7" fillId="3" borderId="0" xfId="0" applyNumberFormat="1" applyFont="1" applyFill="1"/>
    <x:xf numFmtId="171" fontId="7" fillId="3" borderId="0" xfId="0" applyNumberFormat="1" applyFont="1" applyFill="1" applyAlignment="1">
      <x:alignment vertical="center" wrapText="1"/>
    </x:xf>
    <x:xf numFmtId="1" fontId="7" fillId="3" borderId="0" xfId="0" applyNumberFormat="1" applyFont="1" applyFill="1" applyAlignment="1">
      <x:alignment horizontal="center"/>
    </x:xf>
    <x:xf numFmtId="167" fontId="7" fillId="3" borderId="0" xfId="0" applyNumberFormat="1" applyFont="1" applyFill="1"/>
    <x:xf numFmtId="170" fontId="7" fillId="3" borderId="0" xfId="0" applyNumberFormat="1" applyFont="1" applyFill="1"/>
    <x:xf numFmtId="0" fontId="11" fillId="3" borderId="0" xfId="0" applyFont="1" applyFill="1"/>
    <x:xf numFmtId="0" fontId="3" fillId="0" borderId="0" xfId="0" applyFont="1" applyAlignment="1">
      <x:alignment vertical="center" wrapText="1"/>
    </x:xf>
    <x:xf numFmtId="167" fontId="7" fillId="3" borderId="1" xfId="0" applyNumberFormat="1" applyFont="1" applyFill="1" applyBorder="1"/>
    <x:xf numFmtId="165" fontId="7" fillId="3" borderId="1" xfId="0" applyNumberFormat="1" applyFont="1" applyFill="1" applyBorder="1"/>
    <x:xf numFmtId="165" fontId="8" fillId="3" borderId="1" xfId="0" applyNumberFormat="1" applyFont="1" applyFill="1" applyBorder="1"/>
    <x:xf numFmtId="0" fontId="12" fillId="0" borderId="0" xfId="0" applyFont="1"/>
    <x:xf numFmtId="164" fontId="12" fillId="0" borderId="0" xfId="0" applyNumberFormat="1" applyFont="1"/>
    <x:xf numFmtId="170" fontId="12" fillId="0" borderId="0" xfId="0" applyNumberFormat="1" applyFont="1"/>
    <x:xf numFmtId="167" fontId="12" fillId="0" borderId="0" xfId="0" applyNumberFormat="1" applyFont="1"/>
    <x:xf numFmtId="0" fontId="9" fillId="0" borderId="0" xfId="0" applyFont="1"/>
    <x:xf numFmtId="170" fontId="0" fillId="2" borderId="1" xfId="0" applyNumberFormat="1" applyFill="1" applyBorder="1" applyAlignment="1" applyProtection="1">
      <x:alignment vertical="center"/>
      <x:protection locked="0"/>
    </x:xf>
    <x:xf numFmtId="168" fontId="3" fillId="3" borderId="1" xfId="0" applyNumberFormat="1" applyFont="1" applyFill="1" applyBorder="1"/>
    <x:xf numFmtId="169" fontId="0" fillId="3" borderId="1" xfId="0" applyNumberFormat="1" applyFill="1" applyBorder="1"/>
    <x:xf numFmtId="0" fontId="0" fillId="2" borderId="0" xfId="0" applyFill="1" applyProtection="1">
      <x:protection locked="0"/>
    </x:xf>
    <x:xf numFmtId="0" fontId="7" fillId="0" borderId="0" xfId="0" applyFont="1" applyAlignment="1">
      <x:alignment vertical="top" wrapText="1"/>
    </x:xf>
    <x:xf numFmtId="2" fontId="7" fillId="0" borderId="0" xfId="0" applyNumberFormat="1" applyFont="1"/>
    <x:xf numFmtId="3" fontId="7" fillId="0" borderId="0" xfId="0" applyNumberFormat="1" applyFont="1"/>
    <x:xf numFmtId="0" fontId="0"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cellXfs>
  <x:cellStyles count="1">
    <x:cellStyle name="Normal" xfId="0"/>
  </x:cellStyles>
  <x:dxfs count="1">
    <x:dxf>
      <x:font>
        <x:b/>
        <x:color rgb="FFC00000"/>
      </x:font>
      <x:fill>
        <x:patternFill>
          <x:bgColor rgb="FFF8CBAD"/>
        </x:patternFill>
      </x:fill>
    </x:dxf>
  </x:dxf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D9E1F2"/>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8CBAD"/>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c3394891c0e4c83" /><Relationship Type="http://schemas.openxmlformats.org/officeDocument/2006/relationships/theme" Target="/xl/theme/theme1.xml" Id="R2120ec1378444148" /><Relationship Type="http://schemas.openxmlformats.org/officeDocument/2006/relationships/sharedStrings" Target="/xl/sharedStrings.xml" Id="Rdd46953a13b54ce3" /><Relationship Type="http://schemas.openxmlformats.org/officeDocument/2006/relationships/worksheet" Target="/xl/worksheets/sheet1.xml" Id="R0d2892bf4b224b04" /><Relationship Type="http://schemas.openxmlformats.org/officeDocument/2006/relationships/worksheet" Target="/xl/worksheets/sheet2.xml" Id="R5f37846ee29d4b8a" /><Relationship Type="http://schemas.openxmlformats.org/officeDocument/2006/relationships/worksheet" Target="/xl/worksheets/sheet3.xml" Id="R3848cb0a36a84b44" /><Relationship Type="http://schemas.openxmlformats.org/officeDocument/2006/relationships/worksheet" Target="/xl/worksheets/sheet4.xml" Id="R5e435d6b91ff4c0d" /><Relationship Type="http://schemas.openxmlformats.org/officeDocument/2006/relationships/worksheet" Target="/xl/worksheets/sheet5.xml" Id="Rbc418aefd7034c4f" /><Relationship Type="http://schemas.openxmlformats.org/officeDocument/2006/relationships/worksheet" Target="/xl/worksheets/sheet6.xml" Id="R2647f225c6e94c46" /><Relationship Type="http://schemas.openxmlformats.org/officeDocument/2006/relationships/worksheet" Target="/xl/worksheets/sheet7.xml" Id="R502fecaaf6374c5b" /><Relationship Type="http://schemas.openxmlformats.org/officeDocument/2006/relationships/worksheet" Target="/xl/worksheets/sheet8.xml" Id="Rebd053371a5b465a" /><Relationship Type="http://schemas.openxmlformats.org/officeDocument/2006/relationships/worksheet" Target="/xl/worksheets/sheet9.xml" Id="R179ff34ee6ab42ab" /><Relationship Type="http://schemas.openxmlformats.org/officeDocument/2006/relationships/worksheet" Target="/xl/worksheets/sheet10.xml" Id="Ra6d2b65fd5ba43bf" /><Relationship Type="http://schemas.openxmlformats.org/officeDocument/2006/relationships/worksheet" Target="/xl/worksheets/sheet11.xml" Id="R80657519730f440f" /><Relationship Type="http://schemas.openxmlformats.org/officeDocument/2006/relationships/worksheet" Target="/xl/worksheets/sheet12.xml" Id="Rae974c63fe3a4053"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FormatPr baseColWidth="10" defaultColWidth="8.6640625" defaultRowHeight="15"/>
  <x:cols>
    <x:col min="1" max="1" width="130" customWidth="1"/>
  </x:cols>
  <x:sheetData>
    <x:row r="1" ht="17.25" customHeight="1">
      <x:c r="A1" s="12" t="s">
        <x:v>0</x:v>
      </x:c>
    </x:row>
    <x:row r="2" ht="46.5" customHeight="1">
      <x:c r="A2" s="13" t="s">
        <x:v>1</x:v>
      </x:c>
    </x:row>
    <x:row r="3" ht="31.5" customHeight="1">
      <x:c r="A3" s="14" t="s">
        <x:v>2</x:v>
      </x:c>
    </x:row>
    <x:row r="4" ht="31.5" customHeight="1">
      <x:c r="A4" s="14" t="s">
        <x:v>3</x:v>
      </x:c>
    </x:row>
    <x:row r="5" ht="46.5" customHeight="1">
      <x:c r="A5" s="14" t="s">
        <x:v>4</x:v>
      </x:c>
    </x:row>
    <x:row r="6" ht="46.5" customHeight="1">
      <x:c r="A6" s="14" t="s">
        <x:v>5</x:v>
      </x:c>
    </x:row>
    <x:row r="7" ht="31.5" customHeight="1">
      <x:c r="A7" s="14" t="s">
        <x:v>6</x:v>
      </x:c>
    </x:row>
    <x:row r="8" ht="16.5" customHeight="1">
      <x:c r="A8" s="14" t="s">
        <x:v>7</x:v>
      </x:c>
    </x:row>
    <x:row r="9" ht="46.5" customHeight="1">
      <x:c r="A9" s="14" t="s">
        <x:v>8</x:v>
      </x:c>
    </x:row>
    <x:row r="10" ht="16.5" customHeight="1">
      <x:c r="A10" s="14" t="s">
        <x:v>9</x:v>
      </x:c>
    </x:row>
    <x:row r="11" ht="31.5" customHeight="1">
      <x:c r="A11" s="14" t="s">
        <x:v>10</x:v>
      </x:c>
    </x:row>
    <x:row r="12" ht="31.5" customHeight="1">
      <x:c r="A12" s="14" t="s">
        <x:v>11</x:v>
      </x:c>
    </x:row>
    <x:row r="13" ht="31.5" customHeight="1">
      <x:c r="A13" s="14" t="s">
        <x:v>12</x:v>
      </x:c>
    </x:row>
    <x:row r="14" ht="16.5" customHeight="1">
      <x:c r="A14" s="14" t="s">
        <x:v>13</x:v>
      </x:c>
    </x:row>
    <x:row r="15" ht="15" customHeight="1">
      <x:c r="A15" s="15" t="s">
        <x:v>14</x:v>
      </x:c>
    </x:row>
    <x:row r="16" ht="15" customHeight="1">
      <x:c r="A16" s="16" t="s">
        <x:v>15</x:v>
      </x:c>
    </x:row>
    <x:row r="17" ht="15" customHeight="1">
      <x:c r="A17" s="17" t="s">
        <x:v>16</x:v>
      </x:c>
    </x:row>
    <x:row r="18" ht="15" customHeight="1">
      <x:c r="A18" s="18" t="s">
        <x:v>17</x:v>
      </x:c>
    </x:row>
  </x:sheetData>
  <x:pageMargins left="0.7" right="0.7" top="0.75" bottom="0.75" header="0.3" footer="0.3"/>
</x:worksheet>
</file>

<file path=xl/worksheets/sheet2.xml><?xml version="1.0" encoding="utf-8"?>
<x:worksheet xmlns:x="http://schemas.openxmlformats.org/spreadsheetml/2006/main">
  <x:sheetFormatPr baseColWidth="10" defaultColWidth="8.6640625" defaultRowHeight="15"/>
  <x:cols>
    <x:col min="1" max="1" width="52" customWidth="1"/>
    <x:col min="2" max="2" width="14" customWidth="1"/>
    <x:col min="3" max="4" width="46" customWidth="1"/>
    <x:col min="5" max="5" width="36" customWidth="1"/>
  </x:cols>
  <x:sheetData>
    <x:row r="1" ht="17.25" customHeight="1">
      <x:c r="A1" s="12" t="s">
        <x:v>18</x:v>
      </x:c>
    </x:row>
    <x:row r="2" ht="15" customHeight="1">
      <x:c r="A2" s="19" t="s">
        <x:v>19</x:v>
      </x:c>
    </x:row>
    <x:row r="4" ht="26.25" customHeight="1">
      <x:c r="A4" s="20" t="s">
        <x:v>20</x:v>
      </x:c>
      <x:c r="B4" s="20" t="s">
        <x:v>21</x:v>
      </x:c>
      <x:c r="C4" s="20" t="s">
        <x:v>22</x:v>
      </x:c>
      <x:c r="D4" s="20" t="s">
        <x:v>23</x:v>
      </x:c>
      <x:c r="E4" s="20" t="s">
        <x:v>24</x:v>
      </x:c>
    </x:row>
    <x:row r="5" ht="33.75" customHeight="1">
      <x:c r="A5" s="21" t="s">
        <x:v>25</x:v>
      </x:c>
      <x:c r="B5" s="22" t="str">
        <x:v>Chưa</x:v>
      </x:c>
      <x:c r="C5" s="21" t="s">
        <x:v>26</x:v>
      </x:c>
      <x:c r="D5" s="21" t="s">
        <x:v>27</x:v>
      </x:c>
      <x:c r="E5" s="22" t="str">
        <x:v>Chưa có mô hình Phase 1 riêng trong thư mục bài</x:v>
      </x:c>
    </x:row>
    <x:row r="6" ht="33.75" customHeight="1">
      <x:c r="A6" s="21" t="s">
        <x:v>28</x:v>
      </x:c>
      <x:c r="B6" s="22" t="str">
        <x:v>Chưa</x:v>
      </x:c>
      <x:c r="C6" s="21" t="s">
        <x:v>29</x:v>
      </x:c>
      <x:c r="D6" s="21" t="s">
        <x:v>30</x:v>
      </x:c>
      <x:c r="E6" s="22" t="str">
        <x:v>Chưa có log token/API; dùng giả định có ghi rõ từ Day 22</x:v>
      </x:c>
    </x:row>
    <x:row r="7" ht="33.75" customHeight="1">
      <x:c r="A7" s="21" t="s">
        <x:v>31</x:v>
      </x:c>
      <x:c r="B7" s="22" t="str">
        <x:v>Chưa</x:v>
      </x:c>
      <x:c r="C7" s="21" t="s">
        <x:v>32</x:v>
      </x:c>
      <x:c r="D7" s="21" t="s">
        <x:v>33</x:v>
      </x:c>
      <x:c r="E7" s="22" t="str">
        <x:v>Chưa có eval AI; 2/2 tester chỉ là preference test, không phải đánh giá chất lượng</x:v>
      </x:c>
    </x:row>
    <x:row r="8" ht="33.75" customHeight="1">
      <x:c r="A8" s="21" t="s">
        <x:v>34</x:v>
      </x:c>
      <x:c r="B8" s="22" t="str">
        <x:v>Có</x:v>
      </x:c>
      <x:c r="C8" s="21" t="s">
        <x:v>35</x:v>
      </x:c>
      <x:c r="D8" s="21" t="s">
        <x:v>36</x:v>
      </x:c>
      <x:c r="E8" s="22" t="str">
        <x:v>TranVuGiaHuy_Day22_model.xlsx và TranVuGiaHuy_Day22_onepager.pdf</x:v>
      </x:c>
    </x:row>
    <x:row r="9" ht="33.75" customHeight="1">
      <x:c r="A9" s="21" t="s">
        <x:v>37</x:v>
      </x:c>
      <x:c r="B9" s="22" t="str">
        <x:v>Có</x:v>
      </x:c>
      <x:c r="C9" s="21" t="s">
        <x:v>38</x:v>
      </x:c>
      <x:c r="D9" s="21" t="s">
        <x:v>39</x:v>
      </x:c>
      <x:c r="E9" s="22" t="str">
        <x:v>K4-L3-DAY23-TranVuGiaHuy-2A202602705-AIProductGrowth</x:v>
      </x:c>
    </x:row>
    <x:row r="10" ht="61.5" customHeight="1">
      <x:c r="A10" s="21" t="s">
        <x:v>40</x:v>
      </x:c>
      <x:c r="B10" s="22" t="str">
        <x:v>Có</x:v>
      </x:c>
      <x:c r="C10" s="21" t="s">
        <x:v>41</x:v>
      </x:c>
      <x:c r="D10" s="21" t="s">
        <x:v>42</x:v>
      </x:c>
      <x:c r="E10" s="22" t="str">
        <x:v>AI Notes Option B: người học chọn evidence, AI tổ chức, người học duyệt rồi lưu</x:v>
      </x:c>
    </x:row>
    <x:row r="12" ht="15" customHeight="1">
      <x:c r="A12" s="15" t="s">
        <x:v>43</x:v>
      </x:c>
      <x:c r="B12" s="17" t="n">
        <x:f>COUNTIF(B5:B10,"Có")</x:f>
        <x:v>3</x:v>
      </x:c>
    </x:row>
    <x:row r="13" ht="15" customHeight="1">
      <x:c r="A13" s="19" t="s">
        <x:v>44</x:v>
      </x:c>
    </x:row>
  </x:sheetData>
  <x:dataValidations count="1">
    <x:dataValidation type="list" allowBlank="1" sqref="B5:B10">
      <x:formula1>"Có,Chưa"</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baseColWidth="10" defaultColWidth="8.6640625" defaultRowHeight="15"/>
  <x:cols>
    <x:col min="1" max="1" width="6" customWidth="1"/>
    <x:col min="2" max="2" width="60" customWidth="1"/>
    <x:col min="3" max="5" width="14" customWidth="1"/>
    <x:col min="6" max="6" width="30" customWidth="1"/>
    <x:col min="7" max="7" width="34" customWidth="1"/>
  </x:cols>
  <x:sheetData>
    <x:row r="1" ht="17.25" customHeight="1">
      <x:c r="A1" s="12" t="s">
        <x:v>45</x:v>
      </x:c>
    </x:row>
    <x:row r="2" ht="15" customHeight="1">
      <x:c r="A2" s="19" t="s">
        <x:v>46</x:v>
      </x:c>
    </x:row>
    <x:row r="3" ht="31.5" customHeight="1">
      <x:c r="A3" s="11" t="s">
        <x:v>47</x:v>
      </x:c>
      <x:c r="B3" s="11"/>
      <x:c r="C3" s="11"/>
      <x:c r="D3" s="11"/>
      <x:c r="E3" s="11"/>
      <x:c r="F3" s="11"/>
      <x:c r="G3" s="11"/>
    </x:row>
    <x:row r="5" ht="15" customHeight="1">
      <x:c r="A5" s="15" t="s">
        <x:v>48</x:v>
      </x:c>
    </x:row>
    <x:row r="6" ht="31.5" customHeight="1">
      <x:c r="A6" s="24" t="s">
        <x:v>49</x:v>
      </x:c>
      <x:c r="B6" s="24" t="s">
        <x:v>50</x:v>
      </x:c>
      <x:c r="C6" s="24" t="s">
        <x:v>51</x:v>
      </x:c>
      <x:c r="D6" s="24" t="s">
        <x:v>52</x:v>
      </x:c>
      <x:c r="E6" s="24" t="s">
        <x:v>53</x:v>
      </x:c>
      <x:c r="F6" s="24" t="s">
        <x:v>54</x:v>
      </x:c>
      <x:c r="G6" s="24" t="s">
        <x:v>55</x:v>
      </x:c>
    </x:row>
    <x:row r="7" ht="30" customHeight="1">
      <x:c r="A7" s="25">
        <x:v>1</x:v>
      </x:c>
      <x:c r="B7" s="26" t="s">
        <x:v>56</x:v>
      </x:c>
      <x:c r="C7" s="27">
        <x:v>1000</x:v>
      </x:c>
      <x:c r="D7" s="27"/>
      <x:c r="E7" s="27"/>
      <x:c r="F7" s="28"/>
      <x:c r="G7" s="29"/>
    </x:row>
    <x:row r="8" ht="30" customHeight="1">
      <x:c r="A8" s="25">
        <x:v>2</x:v>
      </x:c>
      <x:c r="B8" s="26" t="s">
        <x:v>57</x:v>
      </x:c>
      <x:c r="C8" s="27">
        <x:v>300</x:v>
      </x:c>
      <x:c r="D8" s="27"/>
      <x:c r="E8" s="27"/>
      <x:c r="F8" s="28" t="s">
        <x:v>58</x:v>
      </x:c>
      <x:c r="G8" s="29"/>
    </x:row>
    <x:row r="9" ht="30" customHeight="1">
      <x:c r="A9" s="25">
        <x:v>3</x:v>
      </x:c>
      <x:c r="B9" s="26" t="s">
        <x:v>59</x:v>
      </x:c>
      <x:c r="C9" s="27">
        <x:v>360</x:v>
      </x:c>
      <x:c r="D9" s="27"/>
      <x:c r="E9" s="27"/>
      <x:c r="F9" s="28" t="s">
        <x:v>60</x:v>
      </x:c>
      <x:c r="G9" s="29"/>
    </x:row>
    <x:row r="10" ht="30" customHeight="1">
      <x:c r="A10" s="25">
        <x:v>4</x:v>
      </x:c>
      <x:c r="B10" s="26" t="s">
        <x:v>61</x:v>
      </x:c>
      <x:c r="C10" s="27">
        <x:v>50</x:v>
      </x:c>
      <x:c r="D10" s="27">
        <x:v>80</x:v>
      </x:c>
      <x:c r="E10" s="27">
        <x:v>110</x:v>
      </x:c>
      <x:c r="F10" s="28"/>
      <x:c r="G10" s="29"/>
    </x:row>
    <x:row r="11" ht="30" customHeight="1">
      <x:c r="A11" s="25">
        <x:v>5</x:v>
      </x:c>
      <x:c r="B11" s="26" t="s">
        <x:v>62</x:v>
      </x:c>
      <x:c r="C11" s="27">
        <x:v>240</x:v>
      </x:c>
      <x:c r="D11" s="27"/>
      <x:c r="E11" s="27"/>
      <x:c r="F11" s="28" t="s">
        <x:v>63</x:v>
      </x:c>
      <x:c r="G11" s="29"/>
    </x:row>
    <x:row r="12" ht="30" customHeight="1">
      <x:c r="A12" s="25">
        <x:v>6</x:v>
      </x:c>
      <x:c r="B12" s="26" t="s">
        <x:v>64</x:v>
      </x:c>
      <x:c r="C12" s="27"/>
      <x:c r="D12" s="27">
        <x:v>90</x:v>
      </x:c>
      <x:c r="E12" s="27"/>
      <x:c r="F12" s="28" t="s">
        <x:v>65</x:v>
      </x:c>
      <x:c r="G12" s="29"/>
    </x:row>
    <x:row r="13" ht="30" customHeight="1">
      <x:c r="A13" s="25">
        <x:v>7</x:v>
      </x:c>
      <x:c r="B13" s="26" t="s">
        <x:v>66</x:v>
      </x:c>
      <x:c r="C13" s="27">
        <x:v>15</x:v>
      </x:c>
      <x:c r="D13" s="27">
        <x:v>25</x:v>
      </x:c>
      <x:c r="E13" s="27">
        <x:v>35</x:v>
      </x:c>
      <x:c r="F13" s="28" t="s">
        <x:v>67</x:v>
      </x:c>
      <x:c r="G13" s="29"/>
    </x:row>
    <x:row r="14" ht="30" customHeight="1">
      <x:c r="A14" s="25">
        <x:v>8</x:v>
      </x:c>
      <x:c r="B14" s="26" t="s">
        <x:v>68</x:v>
      </x:c>
      <x:c r="C14" s="27">
        <x:v>10</x:v>
      </x:c>
      <x:c r="D14" s="27">
        <x:v>10</x:v>
      </x:c>
      <x:c r="E14" s="27">
        <x:v>10</x:v>
      </x:c>
      <x:c r="F14" s="28"/>
      <x:c r="G14" s="29"/>
    </x:row>
    <x:row r="15" ht="30" customHeight="1">
      <x:c r="A15" s="25">
        <x:v>9</x:v>
      </x:c>
      <x:c r="B15" s="26" t="s">
        <x:v>69</x:v>
      </x:c>
      <x:c r="C15" s="27">
        <x:v>120</x:v>
      </x:c>
      <x:c r="D15" s="27">
        <x:v>120</x:v>
      </x:c>
      <x:c r="E15" s="27">
        <x:v>120</x:v>
      </x:c>
      <x:c r="F15" s="28"/>
      <x:c r="G15" s="29"/>
    </x:row>
    <x:row r="16" ht="30" customHeight="1">
      <x:c r="A16" s="25">
        <x:v>10</x:v>
      </x:c>
      <x:c r="B16" s="26" t="s">
        <x:v>70</x:v>
      </x:c>
      <x:c r="C16" s="27">
        <x:v>20</x:v>
      </x:c>
      <x:c r="D16" s="27">
        <x:v>20</x:v>
      </x:c>
      <x:c r="E16" s="27">
        <x:v>20</x:v>
      </x:c>
      <x:c r="F16" s="28"/>
      <x:c r="G16" s="29"/>
    </x:row>
    <x:row r="17" ht="30" customHeight="1">
      <x:c r="A17" s="25">
        <x:v>11</x:v>
      </x:c>
      <x:c r="B17" s="26" t="s">
        <x:v>71</x:v>
      </x:c>
      <x:c r="C17" s="27">
        <x:v>0</x:v>
      </x:c>
      <x:c r="D17" s="27">
        <x:v>0</x:v>
      </x:c>
      <x:c r="E17" s="27">
        <x:v>0</x:v>
      </x:c>
      <x:c r="F17" s="28" t="s">
        <x:v>72</x:v>
      </x:c>
      <x:c r="G17" s="29"/>
    </x:row>
    <x:row r="19" ht="16.5" customHeight="1">
      <x:c r="A19" s="10" t="s">
        <x:v>73</x:v>
      </x:c>
      <x:c r="B19" s="10"/>
      <x:c r="C19" s="10"/>
      <x:c r="D19" s="10"/>
      <x:c r="E19" s="10"/>
      <x:c r="F19" s="10"/>
      <x:c r="G19" s="10"/>
    </x:row>
    <x:row r="20" ht="15" customHeight="1">
      <x:c r="B20" s="24" t="s">
        <x:v>74</x:v>
      </x:c>
      <x:c r="C20" s="24" t="s">
        <x:v>51</x:v>
      </x:c>
      <x:c r="D20" s="24" t="s">
        <x:v>52</x:v>
      </x:c>
      <x:c r="E20" s="24" t="s">
        <x:v>53</x:v>
      </x:c>
      <x:c r="F20" s="24" t="s">
        <x:v>75</x:v>
      </x:c>
      <x:c r="G20" s="24" t="s">
        <x:v>76</x:v>
      </x:c>
    </x:row>
    <x:row r="21" ht="15" customHeight="1">
      <x:c r="B21" s="31" t="s">
        <x:v>77</x:v>
      </x:c>
      <x:c r="C21" s="32" t="n">
        <x:f>50+240/12</x:f>
        <x:v>70</x:v>
      </x:c>
      <x:c r="D21" s="32" t="n">
        <x:f>80+240/12+90</x:f>
        <x:v>190</x:v>
      </x:c>
      <x:c r="E21" s="32" t="n">
        <x:f>110+240/12</x:f>
        <x:v>130</x:v>
      </x:c>
      <x:c r="F21" s="33" t="n">
        <x:f t="shared" ref="F21:F31" si="0">IF(COUNT(C21:E21)=0,"",SUM(C21:E21))</x:f>
        <x:v>390</x:v>
      </x:c>
    </x:row>
    <x:row r="22" ht="15" customHeight="1">
      <x:c r="B22" s="31" t="s">
        <x:v>78</x:v>
      </x:c>
      <x:c r="C22" s="32" t="n">
        <x:f>15+10</x:f>
        <x:v>25</x:v>
      </x:c>
      <x:c r="D22" s="32" t="n">
        <x:f>25+10</x:f>
        <x:v>35</x:v>
      </x:c>
      <x:c r="E22" s="32" t="n">
        <x:f>35+10</x:f>
        <x:v>45</x:v>
      </x:c>
      <x:c r="F22" s="33">
        <x:f t="shared" si="0"/>
        <x:v>105</x:v>
      </x:c>
    </x:row>
    <x:row r="23" ht="15" customHeight="1">
      <x:c r="B23" s="34" t="s">
        <x:v>79</x:v>
      </x:c>
      <x:c r="C23" s="32" t="n">
        <x:f>C21-C22</x:f>
        <x:v>45</x:v>
      </x:c>
      <x:c r="D23" s="32" t="n">
        <x:f>D21-D22</x:f>
        <x:v>155</x:v>
      </x:c>
      <x:c r="E23" s="32" t="n">
        <x:f>E21-E22</x:f>
        <x:v>85</x:v>
      </x:c>
      <x:c r="F23" s="35">
        <x:f t="shared" si="0"/>
        <x:v>285</x:v>
      </x:c>
      <x:c r="G23" s="36" t="str">
        <x:f>IF(COUNT(C21:E21,C22:E22,C23:E23)&lt;9,"Chưa điền",IF(AND(ABS(C23-(C21-C22))&lt;0.01,ABS(D23-(D21-D22))&lt;0.01,ABS(E23-(E21-E22))&lt;0.01),"Đạt","Xem lại phép trừ"))</x:f>
        <x:v>Đạt</x:v>
      </x:c>
    </x:row>
    <x:row r="24" ht="15" customHeight="1">
      <x:c r="B24" s="31" t="s">
        <x:v>80</x:v>
      </x:c>
      <x:c r="C24" s="32" t="n">
        <x:f>C15+C16</x:f>
        <x:v>140</x:v>
      </x:c>
      <x:c r="D24" s="32" t="n">
        <x:f>D15+D16</x:f>
        <x:v>140</x:v>
      </x:c>
      <x:c r="E24" s="32" t="n">
        <x:f>E15+E16</x:f>
        <x:v>140</x:v>
      </x:c>
      <x:c r="F24" s="33">
        <x:f t="shared" si="0"/>
        <x:v>420</x:v>
      </x:c>
    </x:row>
    <x:row r="25" ht="15" customHeight="1">
      <x:c r="B25" s="34" t="s">
        <x:v>81</x:v>
      </x:c>
      <x:c r="C25" s="32" t="n">
        <x:f>C23-C24</x:f>
        <x:v>-95</x:v>
      </x:c>
      <x:c r="D25" s="32" t="n">
        <x:f t="shared" ref="D25:E25" si="1">D23-D24</x:f>
        <x:v>15</x:v>
      </x:c>
      <x:c r="E25" s="32" t="n">
        <x:f t="shared" si="1">E23-E24</x:f>
        <x:v>-55</x:v>
      </x:c>
      <x:c r="F25" s="35">
        <x:f t="shared" si="0"/>
        <x:v>-135</x:v>
      </x:c>
      <x:c r="G25" s="36" t="str">
        <x:f>IF(COUNT(C23:E23,C24:E24,C25:E25)&lt;9,"Chưa điền",IF(AND(ABS(C25-(C23-C24))&lt;0.01,ABS(D25-(D23-D24))&lt;0.01,ABS(E25-(E23-E24))&lt;0.01),"Đạt","Xem lại phép trừ"))</x:f>
        <x:v>Đạt</x:v>
      </x:c>
    </x:row>
    <x:row r="26" ht="15" customHeight="1">
      <x:c r="B26" s="31" t="s">
        <x:v>82</x:v>
      </x:c>
      <x:c r="C26" s="32" t="n">
        <x:f>C9/36</x:f>
        <x:v>10</x:v>
      </x:c>
      <x:c r="D26" s="32" t="n">
        <x:f>C9/36</x:f>
        <x:v>10</x:v>
      </x:c>
      <x:c r="E26" s="32" t="n">
        <x:f>C9/36</x:f>
        <x:v>10</x:v>
      </x:c>
      <x:c r="F26" s="33">
        <x:f t="shared" si="0"/>
        <x:v>30</x:v>
      </x:c>
    </x:row>
    <x:row r="27" ht="15" customHeight="1">
      <x:c r="B27" s="34" t="s">
        <x:v>83</x:v>
      </x:c>
      <x:c r="C27" s="32" t="n">
        <x:f>C25-C26</x:f>
        <x:v>-105</x:v>
      </x:c>
      <x:c r="D27" s="32" t="n">
        <x:f t="shared" ref="D27:E27" si="2">D25-D26</x:f>
        <x:v>5</x:v>
      </x:c>
      <x:c r="E27" s="32" t="n">
        <x:f t="shared" si="2">E25-E26</x:f>
        <x:v>-65</x:v>
      </x:c>
      <x:c r="F27" s="35">
        <x:f t="shared" si="0"/>
        <x:v>-165</x:v>
      </x:c>
      <x:c r="G27" s="36" t="str">
        <x:f>IF(COUNT(C25:E25,C26:E26,C27:E27)&lt;9,"Chưa điền",IF(AND(ABS(C27-(C25-C26))&lt;0.01,ABS(D27-(D25-D26))&lt;0.01,ABS(E27-(E25-E26))&lt;0.01),"Đạt","Xem lại phép trừ"))</x:f>
        <x:v>Đạt</x:v>
      </x:c>
    </x:row>
    <x:row r="28" ht="15" customHeight="1">
      <x:c r="B28" s="31" t="s">
        <x:v>84</x:v>
      </x:c>
      <x:c r="C28" s="32" t="n">
        <x:f>300*12%/12</x:f>
        <x:v>3</x:v>
      </x:c>
      <x:c r="D28" s="32" t="n">
        <x:f t="shared" ref="D28:E28" si="3">300*12%/12</x:f>
        <x:v>3</x:v>
      </x:c>
      <x:c r="E28" s="32" t="n">
        <x:f t="shared" si="3">300*12%/12</x:f>
        <x:v>3</x:v>
      </x:c>
      <x:c r="F28" s="33">
        <x:f t="shared" si="0"/>
        <x:v>9</x:v>
      </x:c>
    </x:row>
    <x:row r="29" ht="15" customHeight="1">
      <x:c r="B29" s="34" t="s">
        <x:v>85</x:v>
      </x:c>
      <x:c r="C29" s="32" t="n">
        <x:f>C27-C28</x:f>
        <x:v>-108</x:v>
      </x:c>
      <x:c r="D29" s="32" t="n">
        <x:f t="shared" ref="D29:E29" si="4">D27-D28</x:f>
        <x:v>2</x:v>
      </x:c>
      <x:c r="E29" s="32" t="n">
        <x:f t="shared" si="4">E27-E28</x:f>
        <x:v>-68</x:v>
      </x:c>
      <x:c r="F29" s="35">
        <x:f t="shared" si="0"/>
        <x:v>-174</x:v>
      </x:c>
      <x:c r="G29" s="36" t="str">
        <x:f>IF(COUNT(C27:E27,C28:E28,C29:E29)&lt;9,"Chưa điền",IF(AND(ABS(C29-(C27-C28))&lt;0.01,ABS(D29-(D27-D28))&lt;0.01,ABS(E29-(E27-E28))&lt;0.01),"Đạt","Xem lại phép trừ"))</x:f>
        <x:v>Đạt</x:v>
      </x:c>
    </x:row>
    <x:row r="30" ht="15" customHeight="1">
      <x:c r="B30" s="31" t="s">
        <x:v>71</x:v>
      </x:c>
      <x:c r="C30" s="32" t="n">
        <x:f>0</x:f>
        <x:v>0</x:v>
      </x:c>
      <x:c r="D30" s="32" t="n">
        <x:f>0</x:f>
        <x:v>0</x:v>
      </x:c>
      <x:c r="E30" s="32" t="n">
        <x:f>0</x:f>
        <x:v>0</x:v>
      </x:c>
      <x:c r="F30" s="33">
        <x:f t="shared" si="0"/>
        <x:v>0</x:v>
      </x:c>
    </x:row>
    <x:row r="31" ht="15" customHeight="1">
      <x:c r="B31" s="34" t="s">
        <x:v>86</x:v>
      </x:c>
      <x:c r="C31" s="32" t="n">
        <x:f>C29-C30</x:f>
        <x:v>-108</x:v>
      </x:c>
      <x:c r="D31" s="32" t="n">
        <x:f t="shared" ref="D31:E31" si="5">D29-D30</x:f>
        <x:v>2</x:v>
      </x:c>
      <x:c r="E31" s="32" t="n">
        <x:f t="shared" si="5">E29-E30</x:f>
        <x:v>-68</x:v>
      </x:c>
      <x:c r="F31" s="35">
        <x:f t="shared" si="0"/>
        <x:v>-174</x:v>
      </x:c>
      <x:c r="G31" s="36" t="str">
        <x:f>IF(COUNT(C29:E29,C30:E30,C31:E31)&lt;9,"Chưa điền",IF(AND(ABS(C31-(C29-C30))&lt;0.01,ABS(D31-(D29-D30))&lt;0.01,ABS(E31-(E29-E30))&lt;0.01),"Đạt","Xem lại phép trừ"))</x:f>
        <x:v>Đạt</x:v>
      </x:c>
    </x:row>
    <x:row r="32" ht="15" customHeight="1">
      <x:c r="B32" s="31" t="s">
        <x:v>87</x:v>
      </x:c>
      <x:c r="C32" s="37" t="n">
        <x:f>IFERROR(C23/C21,"")</x:f>
        <x:v>0.6428571428571429</x:v>
      </x:c>
      <x:c r="D32" s="37" t="n">
        <x:f>IFERROR(D23/D21,"")</x:f>
        <x:v>0.8157894736842105</x:v>
      </x:c>
      <x:c r="E32" s="37" t="n">
        <x:f>IFERROR(E23/E21,"")</x:f>
        <x:v>0.6538461538461539</x:v>
      </x:c>
      <x:c r="F32" s="37" t="n">
        <x:f>IFERROR(F23/F21,"")</x:f>
        <x:v>0.7307692307692307</x:v>
      </x:c>
    </x:row>
    <x:row r="33" ht="45" customHeight="1">
      <x:c r="B33" s="38" t="s">
        <x:v>88</x:v>
      </x:c>
      <x:c r="G33" s="39" t="str">
        <x:f>IF(COUNT(C31:E31)&lt;3,"Chưa điền",IF(ABS(F31+174)&lt;0.01,"Đạt: đã ghi theo kỳ","Chưa đúng: có giao dịch đang ghi theo ngày tiền vào ra (xem cột G, dòng 7–17)"))</x:f>
        <x:v>Đạt: đã ghi theo kỳ</x:v>
      </x:c>
    </x:row>
    <x:row r="34" ht="16.5" customHeight="1">
      <x:c r="A34" s="10" t="s">
        <x:v>89</x:v>
      </x:c>
      <x:c r="B34" s="10"/>
      <x:c r="C34" s="10"/>
      <x:c r="D34" s="10"/>
      <x:c r="E34" s="10"/>
      <x:c r="F34" s="10"/>
      <x:c r="G34" s="10"/>
    </x:row>
    <x:row r="35" ht="15" customHeight="1">
      <x:c r="B35" s="24" t="s">
        <x:v>74</x:v>
      </x:c>
      <x:c r="C35" s="24" t="s">
        <x:v>90</x:v>
      </x:c>
      <x:c r="G35" s="24" t="s">
        <x:v>76</x:v>
      </x:c>
    </x:row>
    <x:row r="36" ht="15" customHeight="1">
      <x:c r="B36" s="15" t="s">
        <x:v>91</x:v>
      </x:c>
    </x:row>
    <x:row r="37" ht="15" customHeight="1">
      <x:c r="B37" s="31" t="s">
        <x:v>92</x:v>
      </x:c>
      <x:c r="C37" s="32" t="n">
        <x:f>C7+C8+C10+D10+E10+C11-C9-C13-D13-C14-D14-E14-C15-D15-E15-C16-D16-E16-C28*3</x:f>
        <x:v>921</x:v>
      </x:c>
    </x:row>
    <x:row r="38" ht="15" customHeight="1">
      <x:c r="B38" s="31" t="s">
        <x:v>93</x:v>
      </x:c>
      <x:c r="C38" s="32" t="n">
        <x:f>D12</x:f>
        <x:v>90</x:v>
      </x:c>
    </x:row>
    <x:row r="39" ht="15" customHeight="1">
      <x:c r="B39" s="31" t="s">
        <x:v>94</x:v>
      </x:c>
      <x:c r="C39" s="32" t="n">
        <x:f>C9</x:f>
        <x:v>360</x:v>
      </x:c>
    </x:row>
    <x:row r="40" ht="15" customHeight="1">
      <x:c r="B40" s="31" t="s">
        <x:v>95</x:v>
      </x:c>
      <x:c r="C40" s="32" t="n">
        <x:v>-30</x:v>
      </x:c>
    </x:row>
    <x:row r="41" ht="15" customHeight="1">
      <x:c r="B41" s="34" t="s">
        <x:v>96</x:v>
      </x:c>
      <x:c r="C41" s="32" t="n">
        <x:f>SUM(C37:C40)</x:f>
        <x:v>1341</x:v>
      </x:c>
      <x:c r="G41" s="36" t="str">
        <x:f>IF(COUNT(C37:C41)&lt;5,"Chưa điền",IF(ABS(C41-SUM(C37:C40))&lt;0.01,"Đạt","Xem lại phép cộng"))</x:f>
        <x:v>Đạt</x:v>
      </x:c>
    </x:row>
    <x:row r="42" ht="15" customHeight="1">
      <x:c r="B42" s="15" t="s">
        <x:v>97</x:v>
      </x:c>
    </x:row>
    <x:row r="43" ht="15" customHeight="1">
      <x:c r="B43" s="31" t="s">
        <x:v>98</x:v>
      </x:c>
      <x:c r="C43" s="32" t="n">
        <x:v>35</x:v>
      </x:c>
    </x:row>
    <x:row r="44" ht="15" customHeight="1">
      <x:c r="B44" s="31" t="s">
        <x:v>99</x:v>
      </x:c>
      <x:c r="C44" s="32" t="n">
        <x:v>180</x:v>
      </x:c>
    </x:row>
    <x:row r="45" ht="15" customHeight="1">
      <x:c r="B45" s="31" t="s">
        <x:v>100</x:v>
      </x:c>
      <x:c r="C45" s="32" t="n">
        <x:v>300</x:v>
      </x:c>
    </x:row>
    <x:row r="46" ht="15" customHeight="1">
      <x:c r="B46" s="34" t="s">
        <x:v>101</x:v>
      </x:c>
      <x:c r="C46" s="32" t="n">
        <x:v>515</x:v>
      </x:c>
      <x:c r="G46" s="36" t="str">
        <x:f>IF(COUNT(C43:C46)&lt;4,"Chưa điền",IF(ABS(C46-SUM(C43:C45))&lt;0.01,"Đạt","Xem lại phép cộng"))</x:f>
        <x:v>Đạt</x:v>
      </x:c>
    </x:row>
    <x:row r="47" ht="15" customHeight="1">
      <x:c r="B47" s="15" t="s">
        <x:v>102</x:v>
      </x:c>
      <x:c r="C47"/>
    </x:row>
    <x:row r="48" ht="15" customHeight="1">
      <x:c r="B48" s="31" t="s">
        <x:v>103</x:v>
      </x:c>
      <x:c r="C48" s="32" t="n">
        <x:v>1000</x:v>
      </x:c>
    </x:row>
    <x:row r="49" ht="15" customHeight="1">
      <x:c r="B49" s="31" t="s">
        <x:v>104</x:v>
      </x:c>
      <x:c r="C49" s="32" t="n">
        <x:v>-174</x:v>
      </x:c>
    </x:row>
    <x:row r="50" ht="15" customHeight="1">
      <x:c r="B50" s="34" t="s">
        <x:v>105</x:v>
      </x:c>
      <x:c r="C50" s="32" t="n">
        <x:v>826</x:v>
      </x:c>
      <x:c r="G50" s="36" t="str">
        <x:f>IF(COUNT(C48:C50)&lt;3,"Chưa điền",IF(ABS(C50-SUM(C48:C49))&lt;0.01,"Đạt","Xem lại phép cộng"))</x:f>
        <x:v>Đạt</x:v>
      </x:c>
    </x:row>
    <x:row r="51" ht="15" customHeight="1">
      <x:c r="B51" s="31" t="s">
        <x:v>106</x:v>
      </x:c>
      <x:c r="C51" s="32" t="n">
        <x:v>1341</x:v>
      </x:c>
      <x:c r="G51" s="36" t="str">
        <x:f>IF(COUNT(C46,C50,C51)&lt;3,"Chưa điền",IF(ABS(C51-(C46+C50))&lt;0.01,"Đạt","Xem lại phép cộng"))</x:f>
        <x:v>Đạt</x:v>
      </x:c>
    </x:row>
    <x:row r="52" ht="15" customHeight="1">
      <x:c r="B52" s="34" t="s">
        <x:v>107</x:v>
      </x:c>
      <x:c r="G52" s="40" t="str">
        <x:f>IF(COUNT(C41,C51)&lt;2,"Chưa điền",IF(ABS(C41-C51)&lt;0.01,"Đạt: bảng đã cân","Chưa cân: tìm khoản ghi sai"))</x:f>
        <x:v>Đạt: bảng đã cân</x:v>
      </x:c>
    </x:row>
    <x:row r="53" ht="15" customHeight="1">
      <x:c r="B53" s="34" t="s">
        <x:v>108</x:v>
      </x:c>
      <x:c r="G53" s="40" t="str">
        <x:f>IF(COUNT(C49,F31)&lt;2,"Chưa điền",IF(ABS(C49-F31)&lt;0.01,"Đạt","Chưa khớp bài 1"))</x:f>
        <x:v>Đạt</x:v>
      </x:c>
    </x:row>
    <x:row r="55" ht="16.5" customHeight="1">
      <x:c r="A55" s="10" t="s">
        <x:v>109</x:v>
      </x:c>
      <x:c r="B55" s="10"/>
      <x:c r="C55" s="10"/>
      <x:c r="D55" s="10"/>
      <x:c r="E55" s="10"/>
      <x:c r="F55" s="10"/>
      <x:c r="G55" s="10"/>
    </x:row>
    <x:row r="56" ht="15" customHeight="1">
      <x:c r="B56" s="24" t="s">
        <x:v>74</x:v>
      </x:c>
      <x:c r="C56" s="24" t="s">
        <x:v>90</x:v>
      </x:c>
      <x:c r="G56" s="24" t="s">
        <x:v>76</x:v>
      </x:c>
    </x:row>
    <x:row r="57" ht="15" customHeight="1">
      <x:c r="B57" s="31" t="s">
        <x:v>86</x:v>
      </x:c>
      <x:c r="C57" s="32" t="n">
        <x:v>-174</x:v>
      </x:c>
    </x:row>
    <x:row r="58" ht="16.5" customHeight="1">
      <x:c r="B58" s="41" t="s">
        <x:v>110</x:v>
      </x:c>
      <x:c r="C58" s="32" t="n">
        <x:v>30</x:v>
      </x:c>
    </x:row>
    <x:row r="59" ht="31.5" customHeight="1">
      <x:c r="B59" s="41" t="s">
        <x:v>111</x:v>
      </x:c>
      <x:c r="C59" s="32" t="n">
        <x:v>-90</x:v>
      </x:c>
    </x:row>
    <x:row r="60" ht="31.5" customHeight="1">
      <x:c r="B60" s="41" t="s">
        <x:v>112</x:v>
      </x:c>
      <x:c r="C60" s="32" t="n">
        <x:v>35</x:v>
      </x:c>
    </x:row>
    <x:row r="61" ht="16.5" customHeight="1">
      <x:c r="B61" s="41" t="s">
        <x:v>113</x:v>
      </x:c>
      <x:c r="C61" s="32" t="n">
        <x:v>180</x:v>
      </x:c>
    </x:row>
    <x:row r="62" ht="15" customHeight="1">
      <x:c r="B62" s="34" t="s">
        <x:v>114</x:v>
      </x:c>
      <x:c r="C62" s="32" t="n">
        <x:v>-19</x:v>
      </x:c>
      <x:c r="G62" s="36" t="str">
        <x:f>IF(COUNT(C57:C62)&lt;6,"Chưa điền",IF(ABS(C62-SUM(C57:C61))&lt;0.01,"Đạt","Xem lại phép cộng"))</x:f>
        <x:v>Đạt</x:v>
      </x:c>
    </x:row>
    <x:row r="63" ht="15" customHeight="1">
      <x:c r="B63" s="31" t="s">
        <x:v>115</x:v>
      </x:c>
      <x:c r="C63" s="32" t="n">
        <x:v>-360</x:v>
      </x:c>
    </x:row>
    <x:row r="64" ht="15" customHeight="1">
      <x:c r="B64" s="34" t="s">
        <x:v>116</x:v>
      </x:c>
      <x:c r="C64" s="32" t="n">
        <x:v>-360</x:v>
      </x:c>
      <x:c r="G64" s="36" t="str">
        <x:f>IF(COUNT(C63:C64)&lt;2,"Chưa điền",IF(ABS(C64-SUM(C63:C63))&lt;0.01,"Đạt","Xem lại phép cộng"))</x:f>
        <x:v>Đạt</x:v>
      </x:c>
    </x:row>
    <x:row r="65" ht="15" customHeight="1">
      <x:c r="B65" s="31" t="s">
        <x:v>117</x:v>
      </x:c>
      <x:c r="C65" s="32" t="n">
        <x:v>1000</x:v>
      </x:c>
    </x:row>
    <x:row r="66" ht="15" customHeight="1">
      <x:c r="B66" s="31" t="s">
        <x:v>118</x:v>
      </x:c>
      <x:c r="C66" s="32" t="n">
        <x:v>300</x:v>
      </x:c>
    </x:row>
    <x:row r="67" ht="15" customHeight="1">
      <x:c r="B67" s="34" t="s">
        <x:v>119</x:v>
      </x:c>
      <x:c r="C67" s="32" t="n">
        <x:v>1300</x:v>
      </x:c>
      <x:c r="G67" s="36" t="str">
        <x:f>IF(COUNT(C65:C67)&lt;3,"Chưa điền",IF(ABS(C67-SUM(C65:C66))&lt;0.01,"Đạt","Xem lại phép cộng"))</x:f>
        <x:v>Đạt</x:v>
      </x:c>
    </x:row>
    <x:row r="68" ht="15" customHeight="1">
      <x:c r="B68" s="34" t="s">
        <x:v>120</x:v>
      </x:c>
      <x:c r="C68" s="32" t="n">
        <x:v>921</x:v>
      </x:c>
      <x:c r="G68" s="36" t="str">
        <x:f>IF(COUNT(C62,C64,C67,C68)&lt;4,"Chưa điền",IF(ABS(C68-(C62+C64+C67))&lt;0.01,"Đạt","Xem lại phép cộng"))</x:f>
        <x:v>Đạt</x:v>
      </x:c>
    </x:row>
    <x:row r="69" ht="15" customHeight="1">
      <x:c r="B69" s="31" t="s">
        <x:v>121</x:v>
      </x:c>
      <x:c r="C69" s="42" t="n">
        <x:v>0</x:v>
      </x:c>
    </x:row>
    <x:row r="70" ht="15" customHeight="1">
      <x:c r="B70" s="34" t="s">
        <x:v>122</x:v>
      </x:c>
      <x:c r="C70" s="32" t="n">
        <x:v>921</x:v>
      </x:c>
      <x:c r="G70" s="36" t="str">
        <x:f>IF(COUNT(C68:C70)&lt;3,"Chưa điền",IF(ABS(C70-(C68+C69))&lt;0.01,"Đạt","Xem lại phép cộng"))</x:f>
        <x:v>Đạt</x:v>
      </x:c>
    </x:row>
    <x:row r="71" ht="31.5" customHeight="1">
      <x:c r="B71" s="34" t="s">
        <x:v>123</x:v>
      </x:c>
      <x:c r="G71" s="39" t="str">
        <x:f>IF(COUNT(C70,C37)&lt;2,"Chưa điền",IF(ABS(C70-C37)&lt;0.01,"Đạt: ba báo cáo đã khớp","Chưa khớp: soát dấu +/− ở dòng 58–66, rồi soát dòng Tiền ở bảng cân đối"))</x:f>
        <x:v>Đạt: ba báo cáo đã khớp</x:v>
      </x:c>
    </x:row>
    <x:row r="72" ht="15" customHeight="1">
      <x:c r="B72" s="34" t="s">
        <x:v>124</x:v>
      </x:c>
      <x:c r="G72" s="40" t="str">
        <x:f>IF(COUNT(C57,F31)&lt;2,"Chưa điền",IF(ABS(C57-F31)&lt;0.01,"Đạt","Chưa khớp bài 1"))</x:f>
        <x:v>Đạt</x:v>
      </x:c>
    </x:row>
    <x:row r="74" ht="15" customHeight="1">
      <x:c r="A74" s="15" t="s">
        <x:v>125</x:v>
      </x:c>
    </x:row>
    <x:row r="75" ht="48" customHeight="1">
      <x:c r="B75" s="41" t="s">
        <x:v>126</x:v>
      </x:c>
      <x:c r="C75" s="9" t="str">
        <x:v>Tháng 2 lãi 2 triệu nhưng tiền giảm 88 triệu, từ 1.077 xuống 989 triệu. Dự án Y ghi nhận 90 triệu doanh thu nhưng chưa thu tiền, trong khi công ty trả 15 triệu chi phí AI của tháng 1.</x:v>
      </x:c>
      <x:c r="D75" s="9"/>
      <x:c r="E75" s="9"/>
      <x:c r="F75" s="9"/>
      <x:c r="G75" s="9"/>
    </x:row>
    <x:row r="76" ht="48" customHeight="1">
      <x:c r="B76" s="41" t="s">
        <x:v>127</x:v>
      </x:c>
      <x:c r="C76" s="9" t="str">
        <x:v>Cuối tháng 3 còn 180 triệu doanh thu chưa thực hiện trong nợ phải trả vì công ty còn nợ 9 tháng dịch vụ. Chỉ 60 triệu của ba tháng đã phục vụ được ghi nhận doanh thu.</x:v>
      </x:c>
      <x:c r="D76" s="9"/>
      <x:c r="E76" s="9"/>
      <x:c r="F76" s="9"/>
      <x:c r="G76" s="9"/>
    </x:row>
    <x:row r="77" ht="48" customHeight="1">
      <x:c r="B77" s="41" t="s">
        <x:v>128</x:v>
      </x:c>
      <x:c r="C77" s="9" t="str">
        <x:v>Dòng tiền kinh doanh chỉ âm 19 triệu nhờ 180 triệu khách trả trước, 35 triệu chưa trả nhà cung cấp và 30 triệu khấu hao không chi tiền. Không nên coi đây là lãi vì phần lớn là nghĩa vụ còn phải phục vụ hoặc thanh toán.</x:v>
      </x:c>
      <x:c r="D77" s="9"/>
      <x:c r="E77" s="9"/>
      <x:c r="F77" s="9"/>
      <x:c r="G77" s="9"/>
    </x:row>
    <x:row r="78" ht="48" customHeight="1">
      <x:c r="B78" s="41" t="s">
        <x:v>129</x:v>
      </x:c>
      <x:c r="C78" s="9" t="str">
        <x:v>Nếu giữ mức tháng 3, mỗi tháng thu 110 triệu và chi tiền 188 triệu, đốt 78 triệu. Tính thêm 90 triệu dự án Y thu ở tháng 4, công ty trụ khoảng (921 + 90) / 78, xấp xỉ 13 tháng.</x:v>
      </x:c>
      <x:c r="D78" s="9"/>
      <x:c r="E78" s="9"/>
      <x:c r="F78" s="9"/>
      <x:c r="G78" s="9"/>
    </x:row>
    <x:row r="80" ht="15" customHeight="1">
      <x:c r="A80" s="15" t="s">
        <x:v>130</x:v>
      </x:c>
    </x:row>
    <x:row r="81" ht="31.5" customHeight="1">
      <x:c r="B81" s="11" t="s">
        <x:v>131</x:v>
      </x:c>
      <x:c r="C81" s="11"/>
      <x:c r="D81" s="11"/>
      <x:c r="E81" s="11"/>
      <x:c r="F81" s="11"/>
      <x:c r="G81" s="11"/>
    </x:row>
    <x:row r="82" ht="15" customHeight="1">
      <x:c r="B82" s="31" t="s">
        <x:v>132</x:v>
      </x:c>
      <x:c r="C82" s="42">
        <x:v>360</x:v>
      </x:c>
    </x:row>
    <x:row r="83" ht="15" customHeight="1">
      <x:c r="B83" s="31" t="s">
        <x:v>133</x:v>
      </x:c>
      <x:c r="C83" s="42">
        <x:v>12</x:v>
      </x:c>
    </x:row>
    <x:row r="84" ht="15" customHeight="1">
      <x:c r="B84" s="31" t="s">
        <x:v>134</x:v>
      </x:c>
      <x:c r="C84" s="42">
        <x:v>36</x:v>
      </x:c>
    </x:row>
    <x:row r="85" ht="15" customHeight="1">
      <x:c r="B85" s="31" t="s">
        <x:v>135</x:v>
      </x:c>
      <x:c r="C85" s="43">
        <x:v>0.15</x:v>
      </x:c>
    </x:row>
    <x:row r="86" ht="46.5" customHeight="1">
      <x:c r="B86" s="41" t="s">
        <x:v>136</x:v>
      </x:c>
      <x:c r="C86" s="44" t="n">
        <x:v>346.17</x:v>
      </x:c>
      <x:c r="G86" s="36" t="str">
        <x:f>IF(C86="","Chưa điền",IF(ABS(C86-PV(C85/12,C84,-C83))&lt;1,"Đạt","Xem lại"))</x:f>
        <x:v>Đạt</x:v>
      </x:c>
    </x:row>
    <x:row r="87" ht="15" customHeight="1">
      <x:c r="B87" s="31" t="s">
        <x:v>137</x:v>
      </x:c>
      <x:c r="C87" s="45" t="str">
        <x:v>Thuê</x:v>
      </x:c>
      <x:c r="G87" s="36" t="str">
        <x:f>IF(C87="","Chưa điền",IF(C87=IF(PV(C85/12,C84,-C83)&lt;C82,"Thuê","Mua"),"Đạt","Xem lại"))</x:f>
        <x:v>Đạt</x:v>
      </x:c>
    </x:row>
    <x:row r="88" ht="31.5" customHeight="1">
      <x:c r="B88" s="41" t="s">
        <x:v>138</x:v>
      </x:c>
      <x:c r="C88" s="44" t="n">
        <x:v>382.94</x:v>
      </x:c>
      <x:c r="G88" s="36" t="str">
        <x:f>IF(C88="","Chưa điền",IF(ABS(C88-PV(0.08/12,C84,-C83))&lt;1,"Đạt","Xem lại"))</x:f>
        <x:v>Đạt</x:v>
      </x:c>
    </x:row>
    <x:row r="89" ht="15" customHeight="1">
      <x:c r="B89" s="31" t="s">
        <x:v>139</x:v>
      </x:c>
      <x:c r="C89" s="45" t="str">
        <x:v>Mua</x:v>
      </x:c>
      <x:c r="G89" s="36" t="str">
        <x:f>IF(C89="","Chưa điền",IF(C89=IF(PV(0.08/12,C84,-C83)&lt;C82,"Thuê","Mua"),"Đạt","Xem lại"))</x:f>
        <x:v>Đạt</x:v>
      </x:c>
    </x:row>
  </x:sheetData>
  <x:mergeCells>
    <x:mergeCell ref="C76:G76"/>
    <x:mergeCell ref="C77:G77"/>
    <x:mergeCell ref="C78:G78"/>
    <x:mergeCell ref="B81:G81"/>
    <x:mergeCell ref="A3:G3"/>
    <x:mergeCell ref="A19:G19"/>
    <x:mergeCell ref="A34:G34"/>
    <x:mergeCell ref="A55:G55"/>
    <x:mergeCell ref="C75:G75"/>
  </x:mergeCells>
  <x:dataValidations count="1">
    <x:dataValidation type="list" allowBlank="1" sqref="C87 C89">
      <x:formula1>"Mua,Thuê"</x:formula1>
      <x:formula2>0</x:formula2>
    </x:dataValidation>
  </x:dataValidations>
  <x:pageMargins left="0.7" right="0.7" top="0.75" bottom="0.75" header="0.3" footer="0.3"/>
</x:worksheet>
</file>

<file path=xl/worksheets/sheet4.xml><?xml version="1.0" encoding="utf-8"?>
<x:worksheet xmlns:x="http://schemas.openxmlformats.org/spreadsheetml/2006/main">
  <x:sheetFormatPr baseColWidth="10" defaultColWidth="8.6640625" defaultRowHeight="15"/>
  <x:cols>
    <x:col min="1" max="1" width="48" customWidth="1"/>
    <x:col min="2" max="2" width="22" customWidth="1"/>
    <x:col min="3" max="3" width="18" customWidth="1"/>
    <x:col min="4" max="4" width="60" customWidth="1"/>
    <x:col min="5" max="5" width="64" customWidth="1"/>
  </x:cols>
  <x:sheetData>
    <x:row r="1" ht="17.25" customHeight="1">
      <x:c r="A1" s="12" t="s">
        <x:v>140</x:v>
      </x:c>
    </x:row>
    <x:row r="2" ht="15" customHeight="1">
      <x:c r="A2" s="19" t="s">
        <x:v>141</x:v>
      </x:c>
    </x:row>
    <x:row r="3" ht="31.5" customHeight="1">
      <x:c r="A3" s="8" t="s">
        <x:v>142</x:v>
      </x:c>
      <x:c r="B3" s="8"/>
      <x:c r="C3" s="8"/>
      <x:c r="D3" s="8"/>
      <x:c r="E3" s="8"/>
    </x:row>
    <x:row r="4" ht="15" customHeight="1">
      <x:c r="A4" s="24" t="s">
        <x:v>143</x:v>
      </x:c>
      <x:c r="B4" s="24" t="s">
        <x:v>144</x:v>
      </x:c>
      <x:c r="C4" s="24" t="s">
        <x:v>145</x:v>
      </x:c>
      <x:c r="D4" s="24" t="s">
        <x:v>146</x:v>
      </x:c>
      <x:c r="E4" s="24" t="s">
        <x:v>147</x:v>
      </x:c>
    </x:row>
    <x:row r="5" ht="48" customHeight="1">
      <x:c r="A5" s="46" t="s">
        <x:v>148</x:v>
      </x:c>
      <x:c r="B5" s="112" t="str">
        <x:v>1 note có ít nhất 2 evidence hợp lệ, ít nhất 1 nguồn; người học duyệt các phần bắt buộc rồi hệ thống lưu note_id duy nhất</x:v>
      </x:c>
      <x:c r="C5" s="113"/>
      <x:c r="D5" s="112" t="str">
        <x:v>Day 22, 1_Cost_Job!B5: định nghĩa job của AI Notes Option B</x:v>
      </x:c>
      <x:c r="E5" s="50" t="s">
        <x:v>149</x:v>
      </x:c>
    </x:row>
    <x:row r="6" ht="30" customHeight="1">
      <x:c r="A6" s="46" t="s">
        <x:v>150</x:v>
      </x:c>
      <x:c r="B6" s="51" t="n">
        <x:v>2</x:v>
      </x:c>
      <x:c r="C6" s="48" t="s">
        <x:v>151</x:v>
      </x:c>
      <x:c r="D6" s="49" t="str">
        <x:v>Giả định Day 22: 2 lần gọi bình thường cho một note; sẽ đo bằng log call_id</x:v>
      </x:c>
      <x:c r="E6" s="50" t="s">
        <x:v>152</x:v>
      </x:c>
    </x:row>
    <x:row r="7" ht="43.5" customHeight="1">
      <x:c r="A7" s="46" t="s">
        <x:v>153</x:v>
      </x:c>
      <x:c r="B7" s="51" t="n">
        <x:v>2400</x:v>
      </x:c>
      <x:c r="C7" s="48" t="s">
        <x:v>154</x:v>
      </x:c>
      <x:c r="D7" s="49" t="str">
        <x:v>Giả định Day 22: tối đa 2.400 token input/lần; sẽ đo p50 và p95 trên pilot</x:v>
      </x:c>
      <x:c r="E7" s="50" t="s">
        <x:v>155</x:v>
      </x:c>
    </x:row>
    <x:row r="8" ht="15.75" customHeight="1">
      <x:c r="A8" s="46" t="s">
        <x:v>156</x:v>
      </x:c>
      <x:c r="B8" s="51" t="n">
        <x:v>800</x:v>
      </x:c>
      <x:c r="C8" s="48" t="s">
        <x:v>154</x:v>
      </x:c>
      <x:c r="D8" s="49" t="str">
        <x:v>Giả định Day 22: tối đa 800 token output/lần; sẽ đo trên pilot</x:v>
      </x:c>
      <x:c r="E8" s="50" t="s">
        <x:v>157</x:v>
      </x:c>
    </x:row>
    <x:row r="9" ht="43.5" customHeight="1">
      <x:c r="A9" s="46" t="s">
        <x:v>158</x:v>
      </x:c>
      <x:c r="B9" s="51" t="n">
        <x:v>1</x:v>
      </x:c>
      <x:c r="C9" s="48" t="s">
        <x:v>159</x:v>
      </x:c>
      <x:c r="D9" s="49" t="str">
        <x:v>Claude Haiku 4.5, giá list đã ghi trong Day 22 ngày 12/10/2026: 1 USD/1M input</x:v>
      </x:c>
      <x:c r="E9" s="50" t="s">
        <x:v>160</x:v>
      </x:c>
    </x:row>
    <x:row r="10" ht="30" customHeight="1">
      <x:c r="A10" s="46" t="s">
        <x:v>161</x:v>
      </x:c>
      <x:c r="B10" s="51" t="n">
        <x:v>5</x:v>
      </x:c>
      <x:c r="C10" s="48" t="s">
        <x:v>159</x:v>
      </x:c>
      <x:c r="D10" s="49" t="str">
        <x:v>Claude Haiku 4.5, giá list đã ghi trong Day 22 ngày 12/10/2026: 5 USD/1M output</x:v>
      </x:c>
      <x:c r="E10" s="50" t="s">
        <x:v>162</x:v>
      </x:c>
    </x:row>
    <x:row r="11" ht="30" customHeight="1">
      <x:c r="A11" s="46" t="s">
        <x:v>163</x:v>
      </x:c>
      <x:c r="B11" s="51" t="n">
        <x:v>26070</x:v>
      </x:c>
      <x:c r="C11" s="48" t="s">
        <x:v>164</x:v>
      </x:c>
      <x:c r="D11" s="49" t="str">
        <x:v>VCB USD bán 26.070 VND, XML 09:20 ngày 12/10/2026; nguồn đã lưu trong Day 22</x:v>
      </x:c>
      <x:c r="E11" s="50" t="s">
        <x:v>165</x:v>
      </x:c>
    </x:row>
    <x:row r="12" ht="30" customHeight="1">
      <x:c r="A12" s="46" t="s">
        <x:v>166</x:v>
      </x:c>
      <x:c r="B12" s="52" t="n">
        <x:v>0.1</x:v>
      </x:c>
      <x:c r="C12" s="48" t="s">
        <x:v>167</x:v>
      </x:c>
      <x:c r="D12" s="49" t="str">
        <x:v>Giả định Day 22: 10% retry; hard cap 3 retry toàn job/gói; sẽ đo từ log lỗi</x:v>
      </x:c>
      <x:c r="E12" s="50" t="s">
        <x:v>168</x:v>
      </x:c>
    </x:row>
    <x:row r="13" ht="43.5" customHeight="1">
      <x:c r="A13" s="46" t="s">
        <x:v>169</x:v>
      </x:c>
      <x:c r="B13" s="51" t="n">
        <x:v>521.4</x:v>
      </x:c>
      <x:c r="C13" s="48" t="s">
        <x:v>170</x:v>
      </x:c>
      <x:c r="D13" s="49" t="str">
        <x:v>Giả định Day 22: hosting, DB, storage 0,020 USD/việc × 26.070</x:v>
      </x:c>
      <x:c r="E13" s="50" t="s">
        <x:v>171</x:v>
      </x:c>
    </x:row>
    <x:row r="14" ht="30" customHeight="1">
      <x:c r="A14" s="46" t="s">
        <x:v>172</x:v>
      </x:c>
      <x:c r="B14" s="52" t="n">
        <x:v>0.1</x:v>
      </x:c>
      <x:c r="C14" s="48" t="s">
        <x:v>167</x:v>
      </x:c>
      <x:c r="D14" s="49" t="str">
        <x:v>Giả định Day 22: 10% việc phân bổ QA và hỗ trợ; chưa có eval AI</x:v>
      </x:c>
      <x:c r="E14" s="50" t="s">
        <x:v>173</x:v>
      </x:c>
    </x:row>
    <x:row r="15" ht="15.75" customHeight="1">
      <x:c r="A15" s="46" t="s">
        <x:v>174</x:v>
      </x:c>
      <x:c r="B15" s="51" t="n">
        <x:v>6</x:v>
      </x:c>
      <x:c r="C15" s="48" t="s">
        <x:v>175</x:v>
      </x:c>
      <x:c r="D15" s="49" t="str">
        <x:v>Giả định Day 22: 3 phút QA + 3 phút hỗ trợ quy trình</x:v>
      </x:c>
      <x:c r="E15" s="50" t="s">
        <x:v>176</x:v>
      </x:c>
    </x:row>
    <x:row r="16" ht="30" customHeight="1">
      <x:c r="A16" s="46" t="s">
        <x:v>177</x:v>
      </x:c>
      <x:c r="B16" s="51" t="n">
        <x:v>208560</x:v>
      </x:c>
      <x:c r="C16" s="48" t="s">
        <x:v>178</x:v>
      </x:c>
      <x:c r="D16" s="49" t="str">
        <x:v>Giả định Day 22: 8 USD/giờ × 26.070; chưa có hợp đồng nhân sự</x:v>
      </x:c>
      <x:c r="E16" s="50" t="s">
        <x:v>179</x:v>
      </x:c>
    </x:row>
    <x:row r="17" ht="30" customHeight="1">
      <x:c r="A17" s="46" t="s">
        <x:v>180</x:v>
      </x:c>
      <x:c r="B17" s="51" t="n">
        <x:v>260.7</x:v>
      </x:c>
      <x:c r="C17" s="48" t="s">
        <x:v>170</x:v>
      </x:c>
      <x:c r="D17" s="49" t="str">
        <x:v>Giả định Day 22: observability/eval 0,010 USD/việc × 26.070</x:v>
      </x:c>
      <x:c r="E17" s="50" t="s">
        <x:v>181</x:v>
      </x:c>
    </x:row>
    <x:row r="18" ht="15.75" customHeight="1">
      <x:c r="A18" s="46" t="s">
        <x:v>182</x:v>
      </x:c>
      <x:c r="B18" s="51" t="n">
        <x:v>391.05</x:v>
      </x:c>
      <x:c r="C18" s="48" t="s">
        <x:v>170</x:v>
      </x:c>
      <x:c r="D18" s="49" t="str">
        <x:v>Giả định Day 22: phí thanh toán/hoàn tiền 0,015 USD/việc × 26.070</x:v>
      </x:c>
      <x:c r="E18" s="50" t="s">
        <x:v>183</x:v>
      </x:c>
    </x:row>
    <x:row r="20" ht="15" customHeight="1">
      <x:c r="A20" s="15" t="s">
        <x:v>184</x:v>
      </x:c>
    </x:row>
    <x:row r="21" ht="15" customHeight="1">
      <x:c r="A21" s="53" t="s">
        <x:v>185</x:v>
      </x:c>
      <x:c r="B21" s="54" t="n">
        <x:f>IFERROR(B6*(B7*B9+B8*B10)/1000000*B11*(1+B12),0)</x:f>
        <x:v>367.0656000000001</x:v>
      </x:c>
    </x:row>
    <x:row r="22" ht="15" customHeight="1">
      <x:c r="A22" s="53" t="s">
        <x:v>186</x:v>
      </x:c>
      <x:c r="B22" s="54" t="n">
        <x:f>IFERROR(B14*B15/60*B16,0)</x:f>
        <x:v>2085.6000000000004</x:v>
      </x:c>
    </x:row>
    <x:row r="23" ht="15" customHeight="1">
      <x:c r="A23" s="53" t="s">
        <x:v>187</x:v>
      </x:c>
      <x:c r="B23" s="54" t="n">
        <x:f>B13+B17+B18</x:f>
        <x:v>1173.1499999999999</x:v>
      </x:c>
    </x:row>
    <x:row r="24" ht="15.75" customHeight="1">
      <x:c r="A24" s="53" t="s">
        <x:v>188</x:v>
      </x:c>
      <x:c r="B24" s="55" t="n">
        <x:f>B21+B22+B23</x:f>
        <x:v>3625.8156</x:v>
      </x:c>
      <x:c r="E24" s="23" t="s">
        <x:v>189</x:v>
      </x:c>
    </x:row>
    <x:row r="25" ht="15" customHeight="1">
      <x:c r="A25" s="53" t="s">
        <x:v>190</x:v>
      </x:c>
      <x:c r="B25" s="56" t="n">
        <x:f>IFERROR((B24-B21)/B21,0)</x:f>
        <x:v>8.877840909090907</x:v>
      </x:c>
      <x:c r="C25" s="57" t="s">
        <x:v>191</x:v>
      </x:c>
    </x:row>
    <x:row r="26" ht="15" customHeight="1">
      <x:c r="A26" s="53" t="s">
        <x:v>192</x:v>
      </x:c>
      <x:c r="B26" s="54" t="n">
        <x:f>3*B24</x:f>
        <x:v>10877.4468</x:v>
      </x:c>
      <x:c r="C26" s="57" t="s">
        <x:v>193</x:v>
      </x:c>
    </x:row>
    <x:row r="27" ht="15" customHeight="1">
      <x:c r="A27" s="53" t="s">
        <x:v>194</x:v>
      </x:c>
      <x:c r="B27" s="54" t="n">
        <x:f>B24/(1-0.6)</x:f>
        <x:v>9064.538999999999</x:v>
      </x:c>
      <x:c r="C27" s="57" t="s">
        <x:v>195</x:v>
      </x:c>
    </x:row>
  </x:sheetData>
  <x:mergeCells>
    <x:mergeCell ref="A3:E3"/>
  </x:mergeCells>
  <x:pageMargins left="0.7" right="0.7" top="0.75" bottom="0.75" header="0.3" footer="0.3"/>
</x:worksheet>
</file>

<file path=xl/worksheets/sheet5.xml><?xml version="1.0" encoding="utf-8"?>
<x:worksheet xmlns:x="http://schemas.openxmlformats.org/spreadsheetml/2006/main">
  <x:sheetFormatPr baseColWidth="10" defaultColWidth="8.6640625" defaultRowHeight="15"/>
  <x:cols>
    <x:col min="1" max="1" width="44" customWidth="1"/>
    <x:col min="2" max="3" width="30" customWidth="1"/>
    <x:col min="4" max="4" width="22" customWidth="1"/>
    <x:col min="5" max="5" width="20" customWidth="1"/>
    <x:col min="6" max="6" width="18" customWidth="1"/>
    <x:col min="7" max="7" width="22" customWidth="1"/>
    <x:col min="8" max="8" width="20" customWidth="1"/>
    <x:col min="9" max="9" width="46" customWidth="1"/>
  </x:cols>
  <x:sheetData>
    <x:row r="1" ht="17.25" customHeight="1">
      <x:c r="A1" s="12" t="s">
        <x:v>196</x:v>
      </x:c>
    </x:row>
    <x:row r="2" ht="15" customHeight="1">
      <x:c r="A2" s="19" t="s">
        <x:v>197</x:v>
      </x:c>
    </x:row>
    <x:row r="4" ht="15" customHeight="1">
      <x:c r="A4" s="24" t="s">
        <x:v>198</x:v>
      </x:c>
      <x:c r="B4" s="24" t="s">
        <x:v>144</x:v>
      </x:c>
      <x:c r="C4" s="24" t="s">
        <x:v>54</x:v>
      </x:c>
      <x:c r="D4" s="24" t="s">
        <x:v>146</x:v>
      </x:c>
    </x:row>
    <x:row r="5" ht="48" customHeight="1">
      <x:c r="A5" s="21" t="s">
        <x:v>199</x:v>
      </x:c>
      <x:c r="B5" s="58" t="str">
        <x:v>Ngân sách phần mềm học tập/năng suất cá nhân</x:v>
      </x:c>
      <x:c r="C5" s="14" t="s">
        <x:v>200</x:v>
      </x:c>
      <x:c r="D5" s="59" t="str">
        <x:v>Day 22: phân khúc prosumer, tự trả tiền cho công cụ học tập</x:v>
      </x:c>
    </x:row>
    <x:row r="6" ht="63" customHeight="1">
      <x:c r="A6" s="21" t="s">
        <x:v>201</x:v>
      </x:c>
      <x:c r="B6" s="58" t="str">
        <x:v>Theo người dùng: thuê bao tháng có hạn mức và phí vượt</x:v>
      </x:c>
      <x:c r="C6" s="14" t="s">
        <x:v>202</x:v>
      </x:c>
      <x:c r="D6" s="59" t="str">
        <x:v>Day 22, 2_Pricing và 0_README: 8 USD/tháng gồm 12 note đã lưu</x:v>
      </x:c>
    </x:row>
    <x:row r="7" ht="48" customHeight="1">
      <x:c r="A7" s="21" t="s">
        <x:v>203</x:v>
      </x:c>
      <x:c r="B7" s="58" t="str">
        <x:v>Note đã lưu đo được nhưng vẫn cần người học duyệt, nên thu phí thuê bao theo tài khoản và giới hạn mức dùng để kiểm soát chi phí.</x:v>
      </x:c>
      <x:c r="D7" s="59" t="str">
        <x:v>Day 22: không bán outcome học tập; note được người học duyệt mới tính là hoàn thành</x:v>
      </x:c>
    </x:row>
    <x:row r="8" ht="48" customHeight="1">
      <x:c r="A8" s="21" t="s">
        <x:v>204</x:v>
      </x:c>
      <x:c r="B8" s="58" t="str">
        <x:v>Notion Business 20 USD/tháng và Readwise Full 12,99 USD/tháng; AI Notes thử mức 8 USD/tháng</x:v>
      </x:c>
      <x:c r="C8" s="14" t="s">
        <x:v>205</x:v>
      </x:c>
      <x:c r="D8" s="59" t="str">
        <x:v>Day 22, 6_Benchmarks, kiểm tra ngày 12/10/2026</x:v>
      </x:c>
    </x:row>
    <x:row r="9" ht="15" customHeight="1">
      <x:c r="A9" s="53" t="s">
        <x:v>206</x:v>
      </x:c>
      <x:c r="B9" s="60" t="n">
        <x:v>208560</x:v>
      </x:c>
      <x:c r="C9" t="s">
        <x:v>170</x:v>
      </x:c>
      <x:c r="D9" s="59" t="str">
        <x:v>8 USD × 26.070 VND/USD</x:v>
      </x:c>
    </x:row>
    <x:row r="10" ht="15" customHeight="1">
      <x:c r="A10" s="53" t="s">
        <x:v>207</x:v>
      </x:c>
      <x:c r="B10" s="60" t="n">
        <x:v>12</x:v>
      </x:c>
      <x:c r="C10" t="s">
        <x:v>208</x:v>
      </x:c>
      <x:c r="D10" s="59" t="str">
        <x:v>Day 22: 12 note hoàn thành/tháng</x:v>
      </x:c>
    </x:row>
    <x:row r="11" ht="15" customHeight="1">
      <x:c r="A11" s="53" t="s">
        <x:v>209</x:v>
      </x:c>
      <x:c r="B11" s="60" t="n">
        <x:v>15000</x:v>
      </x:c>
      <x:c r="C11" t="s">
        <x:v>210</x:v>
      </x:c>
      <x:c r="D11" s="59" t="str">
        <x:v>Giả định mới để giới hạn heavy use; cao hơn 3× cost/job và cần kiểm tra WTP</x:v>
      </x:c>
    </x:row>
    <x:row r="12" ht="31.5" customHeight="1">
      <x:c r="A12" s="21" t="s">
        <x:v>211</x:v>
      </x:c>
      <x:c r="B12" s="60" t="n">
        <x:v>208560</x:v>
      </x:c>
      <x:c r="C12" t="s">
        <x:v>212</x:v>
      </x:c>
      <x:c r="D12" s="59" t="str">
        <x:v>So sánh gói không giới hạn ở cùng giá thuê bao</x:v>
      </x:c>
    </x:row>
    <x:row r="14" ht="46.5" customHeight="1">
      <x:c r="A14" s="24" t="s">
        <x:v>213</x:v>
      </x:c>
      <x:c r="B14" s="61" t="s">
        <x:v>214</x:v>
      </x:c>
      <x:c r="C14" s="61" t="s">
        <x:v>215</x:v>
      </x:c>
      <x:c r="D14" s="24" t="s">
        <x:v>216</x:v>
      </x:c>
      <x:c r="E14" s="61" t="s">
        <x:v>217</x:v>
      </x:c>
      <x:c r="F14" s="24" t="s">
        <x:v>218</x:v>
      </x:c>
      <x:c r="G14" s="24" t="s">
        <x:v>219</x:v>
      </x:c>
      <x:c r="H14" s="24" t="s">
        <x:v>220</x:v>
      </x:c>
      <x:c r="I14" s="24" t="s">
        <x:v>146</x:v>
      </x:c>
    </x:row>
    <x:row r="15" ht="15" customHeight="1">
      <x:c r="A15" s="53" t="s">
        <x:v>221</x:v>
      </x:c>
      <x:c r="B15" s="62" t="n">
        <x:v>0.8</x:v>
      </x:c>
      <x:c r="C15" s="63" t="n">
        <x:v>12</x:v>
      </x:c>
      <x:c r="D15" s="54" t="n">
        <x:f>B9+MAX(0,C15-B10)*B11</x:f>
        <x:v>208560</x:v>
      </x:c>
      <x:c r="E15" s="54" t="n">
        <x:f>C15*'1_Chi phí mỗi việc'!B24</x:f>
        <x:v>43509.7872</x:v>
      </x:c>
      <x:c r="F15" s="56" t="n">
        <x:f>IFERROR((D15-E15)/D15,0)</x:f>
        <x:v>0.7913800000000001</x:v>
      </x:c>
      <x:c r="G15" s="54" t="n">
        <x:f>B12</x:f>
        <x:v>208560</x:v>
      </x:c>
      <x:c r="H15" s="56" t="n">
        <x:f>IFERROR((G15-E15)/G15,0)</x:f>
        <x:v>0.7913800000000001</x:v>
      </x:c>
      <x:c r="I15" s="59" t="str">
        <x:v>Giả định: 80% khách dùng đúng hạn mức 12 note; sẽ đo theo cohort paid</x:v>
      </x:c>
    </x:row>
    <x:row r="16" ht="15" customHeight="1">
      <x:c r="A16" s="53" t="s">
        <x:v>222</x:v>
      </x:c>
      <x:c r="B16" s="62" t="n">
        <x:v>0.2</x:v>
      </x:c>
      <x:c r="C16" s="63" t="n">
        <x:v>22</x:v>
      </x:c>
      <x:c r="D16" s="54" t="n">
        <x:f>B9+MAX(0,C16-B10)*B11</x:f>
        <x:v>358560</x:v>
      </x:c>
      <x:c r="E16" s="54" t="n">
        <x:f>C16*'1_Chi phí mỗi việc'!B24</x:f>
        <x:v>79767.9432</x:v>
      </x:c>
      <x:c r="F16" s="56" t="n">
        <x:f>IFERROR((D16-E16)/D16,0)</x:f>
        <x:v>0.7775325100401607</x:v>
      </x:c>
      <x:c r="G16" s="54" t="n">
        <x:f>B12</x:f>
        <x:v>208560</x:v>
      </x:c>
      <x:c r="H16" s="56" t="n">
        <x:f>IFERROR((G16-E16)/G16,0)</x:f>
        <x:v>0.61753</x:v>
      </x:c>
      <x:c r="I16" s="59" t="str">
        <x:v>Giả định: 20% khách dùng 22 note; lấy mốc Day 22 để stress mức dùng, sẽ đo theo cohort</x:v>
      </x:c>
    </x:row>
    <x:row r="17" ht="15" customHeight="1">
      <x:c r="A17" s="15" t="s">
        <x:v>223</x:v>
      </x:c>
      <x:c r="B17" s="56" t="n">
        <x:f>B15+B16</x:f>
        <x:v>1</x:v>
      </x:c>
      <x:c r="C17" s="64" t="n">
        <x:f>SUMPRODUCT(B15:B16,C15:C16)</x:f>
        <x:v>14.000000000000002</x:v>
      </x:c>
      <x:c r="D17" s="55" t="n">
        <x:f>SUMPRODUCT($B15:$B16,D15:D16)</x:f>
        <x:v>238560</x:v>
      </x:c>
      <x:c r="E17" s="55" t="n">
        <x:f>SUMPRODUCT($B15:$B16,E15:E16)</x:f>
        <x:v>50761.4184</x:v>
      </x:c>
      <x:c r="F17" s="65" t="n">
        <x:f>IFERROR((D17-E17)/D17,0)</x:f>
        <x:v>0.7872173943661972</x:v>
      </x:c>
      <x:c r="G17" s="55" t="n">
        <x:f>SUMPRODUCT($B15:$B16,G15:G16)</x:f>
        <x:v>208560</x:v>
      </x:c>
      <x:c r="H17" s="65" t="n">
        <x:f>IFERROR((G17-E17)/G17,0)</x:f>
        <x:v>0.75661</x:v>
      </x:c>
    </x:row>
    <x:row r="18" ht="15" customHeight="1">
      <x:c r="A18" t="s">
        <x:v>224</x:v>
      </x:c>
      <x:c r="B18" s="66" t="str">
        <x:f>IF(B17=0,"Chưa điền",IF(ABS(B17-1)&lt;0.001,"Đạt","Sai: tổng khác 100%"))</x:f>
        <x:v>Đạt</x:v>
      </x:c>
    </x:row>
    <x:row r="19" ht="15" customHeight="1">
      <x:c r="A19" t="s">
        <x:v>225</x:v>
      </x:c>
      <x:c r="B19" s="66" t="str">
        <x:f>IF(B11=0,"Chưa điền",IF(B11&gt;='1_Chi phí mỗi việc'!B26,"Đạt","Thấp hơn giá sàn"))</x:f>
        <x:v>Đạt</x:v>
      </x:c>
    </x:row>
    <x:row r="21" ht="15" customHeight="1">
      <x:c r="A21" t="s">
        <x:v>226</x:v>
      </x:c>
      <x:c r="B21" s="65" t="n">
        <x:f>IFERROR(B16*D16/D17,0)</x:f>
        <x:v>0.3006036217303823</x:v>
      </x:c>
    </x:row>
    <x:row r="22" ht="15" customHeight="1">
      <x:c r="A22" t="s">
        <x:v>227</x:v>
      </x:c>
      <x:c r="B22" s="65" t="n">
        <x:f>IFERROR(B16*MAX(0,C16-B10)*B11/D17,0)</x:f>
        <x:v>0.12575452716297786</x:v>
      </x:c>
    </x:row>
    <x:row r="23" ht="15" customHeight="1">
      <x:c r="A23" t="s">
        <x:v>228</x:v>
      </x:c>
      <x:c r="B23" s="66" t="str">
        <x:f>IF(D17=0,"Chưa điền",IF(B21&gt;0.5,"Trên 50% doanh thu đến từ khách dùng nhiều: xem tình huống đặc biệt ở trang 5","Đạt"))</x:f>
        <x:v>Đạt</x:v>
      </x:c>
    </x:row>
    <x:row r="25" ht="15" customHeight="1">
      <x:c r="A25" s="15" t="s">
        <x:v>229</x:v>
      </x:c>
    </x:row>
    <x:row r="26" ht="15" customHeight="1">
      <x:c r="A26" s="31" t="s">
        <x:v>230</x:v>
      </x:c>
      <x:c r="B26" s="32" t="n">
        <x:v>12000000</x:v>
      </x:c>
      <x:c r="C26" s="31" t="s">
        <x:v>212</x:v>
      </x:c>
      <x:c r="D26" s="45" t="str">
        <x:v>Giả định thu nhập người học đi làm 12 triệu/tháng; chỉ là phép thử khả năng chi trả</x:v>
      </x:c>
    </x:row>
    <x:row r="27" ht="15" customHeight="1">
      <x:c r="A27" s="31" t="s">
        <x:v>231</x:v>
      </x:c>
      <x:c r="B27" s="67" t="n">
        <x:v>0</x:v>
      </x:c>
      <x:c r="C27" s="31" t="s">
        <x:v>232</x:v>
      </x:c>
      <x:c r="D27" s="45" t="str">
        <x:v>Bán trực tiếp qua PLG trong 90 ngày đầu theo Day 22</x:v>
      </x:c>
    </x:row>
    <x:row r="28" ht="45" customHeight="1">
      <x:c r="A28" s="24" t="s">
        <x:v>213</x:v>
      </x:c>
      <x:c r="B28" s="24" t="s">
        <x:v>233</x:v>
      </x:c>
      <x:c r="C28" s="24" t="s">
        <x:v>234</x:v>
      </x:c>
      <x:c r="D28" s="24" t="s">
        <x:v>235</x:v>
      </x:c>
      <x:c r="E28" s="24" t="s">
        <x:v>236</x:v>
      </x:c>
      <x:c r="F28" s="24" t="s">
        <x:v>237</x:v>
      </x:c>
    </x:row>
    <x:row r="29" ht="30" customHeight="1">
      <x:c r="A29" s="31" t="s">
        <x:v>221</x:v>
      </x:c>
      <x:c r="B29" s="33" t="n">
        <x:f>D15</x:f>
        <x:v>208560</x:v>
      </x:c>
      <x:c r="C29" s="37" t="n">
        <x:f>IFERROR(B29/$B$26,"")</x:f>
        <x:v>0.01738</x:v>
      </x:c>
      <x:c r="D29" s="68" t="str">
        <x:f>IF(C29="","",IF(C29&lt;0.5,"Dưới 50%: còn dư địa",IF(C29&lt;=0.7,"Trong vùng 50–70%","Trên 70%: khách thà thuê người? Xem dòng 34")))</x:f>
        <x:v>Dưới 50%: còn dư địa</x:v>
      </x:c>
      <x:c r="E29" s="69" t="n">
        <x:f>IFERROR(E15/B29,"")</x:f>
        <x:v>0.20862</x:v>
      </x:c>
      <x:c r="F29" s="36" t="str">
        <x:f>IF(E29="","",IF(E29&lt;0.3,"Ổn (dưới 0,3)",IF(E29&lt;=0.6,"Đáng lo (0,3–0,6)","Nguy (trên 0,6)")))</x:f>
        <x:v>Ổn (dưới 0,3)</x:v>
      </x:c>
    </x:row>
    <x:row r="30" ht="30" customHeight="1">
      <x:c r="A30" s="31" t="s">
        <x:v>238</x:v>
      </x:c>
      <x:c r="B30" s="33" t="n">
        <x:f>D16</x:f>
        <x:v>358560</x:v>
      </x:c>
      <x:c r="C30" s="37" t="n">
        <x:f>IFERROR(B30/$B$26,"")</x:f>
        <x:v>0.02988</x:v>
      </x:c>
      <x:c r="D30" s="68" t="str">
        <x:f>IF(C30="","",IF(C30&lt;0.5,"Dưới 50%: còn dư địa",IF(C30&lt;=0.7,"Trong vùng 50–70%","Trên 70%: khách thà thuê người? Xem dòng 34")))</x:f>
        <x:v>Dưới 50%: còn dư địa</x:v>
      </x:c>
      <x:c r="E30" s="69" t="n">
        <x:f>IFERROR(E16/B30,"")</x:f>
        <x:v>0.22246748995983934</x:v>
      </x:c>
      <x:c r="F30" s="36" t="str">
        <x:f>IF(E30="","",IF(E30&lt;0.3,"Ổn (dưới 0,3)",IF(E30&lt;=0.6,"Đáng lo (0,3–0,6)","Nguy (trên 0,6)")))</x:f>
        <x:v>Ổn (dưới 0,3)</x:v>
      </x:c>
    </x:row>
    <x:row r="31" ht="30" customHeight="1">
      <x:c r="A31" s="31" t="s">
        <x:v>239</x:v>
      </x:c>
      <x:c r="B31" s="33" t="n">
        <x:f>G16</x:f>
        <x:v>208560</x:v>
      </x:c>
      <x:c r="C31" s="37" t="n">
        <x:f>IFERROR(B31/$B$26,"")</x:f>
        <x:v>0.01738</x:v>
      </x:c>
      <x:c r="D31" s="68" t="str">
        <x:f>IF(C31="","",IF(C31&lt;0.5,"Dưới 50%: còn dư địa",IF(C31&lt;=0.7,"Trong vùng 50–70%","Trên 70%: khách thà thuê người? Xem dòng 34")))</x:f>
        <x:v>Dưới 50%: còn dư địa</x:v>
      </x:c>
      <x:c r="E31" s="69" t="n">
        <x:f>IFERROR(E16/B31,"")</x:f>
        <x:v>0.38247</x:v>
      </x:c>
      <x:c r="F31" s="36" t="str">
        <x:f>IF(E31="","",IF(E31&lt;0.3,"Ổn (dưới 0,3)",IF(E31&lt;=0.6,"Đáng lo (0,3–0,6)","Nguy (trên 0,6)")))</x:f>
        <x:v>Đáng lo (0,3–0,6)</x:v>
      </x:c>
    </x:row>
    <x:row r="32" ht="15" customHeight="1">
      <x:c r="A32" s="34" t="s">
        <x:v>240</x:v>
      </x:c>
      <x:c r="B32" s="70" t="n">
        <x:f>IFERROR((D17*(1-B27)-E17)/D17,"")</x:f>
        <x:v>0.7872173943661972</x:v>
      </x:c>
      <x:c r="C32" s="36" t="str">
        <x:f>IF(B32="","",IF(B32&gt;0.5,"Ổn",IF(B32&gt;=0.35,"Đáng lo","Nguy")))</x:f>
        <x:v>Ổn</x:v>
      </x:c>
      <x:c r="D32" s="57" t="s">
        <x:v>241</x:v>
      </x:c>
    </x:row>
    <x:row r="33" ht="30" customHeight="1">
      <x:c r="A33" s="11" t="s">
        <x:v>242</x:v>
      </x:c>
      <x:c r="B33" s="11"/>
      <x:c r="C33" s="11"/>
      <x:c r="D33" s="11"/>
      <x:c r="E33" s="11"/>
      <x:c r="F33" s="11"/>
      <x:c r="G33" s="11"/>
      <x:c r="H33" s="11"/>
      <x:c r="I33" s="11"/>
    </x:row>
    <x:row r="34" ht="30" customHeight="1">
      <x:c r="A34" s="11" t="s">
        <x:v>243</x:v>
      </x:c>
      <x:c r="B34" s="11"/>
      <x:c r="C34" s="11"/>
      <x:c r="D34" s="11"/>
      <x:c r="E34" s="11"/>
      <x:c r="F34" s="11"/>
      <x:c r="G34" s="11"/>
      <x:c r="H34" s="11"/>
      <x:c r="I34" s="11"/>
    </x:row>
    <x:row r="35" ht="15" customHeight="1">
      <x:c r="A35" s="15" t="s">
        <x:v>244</x:v>
      </x:c>
    </x:row>
    <x:row r="36" ht="15" customHeight="1">
      <x:c r="A36" s="31" t="s">
        <x:v>245</x:v>
      </x:c>
      <x:c r="B36" s="11" t="s">
        <x:v>246</x:v>
      </x:c>
      <x:c r="C36" s="11"/>
      <x:c r="D36" s="11"/>
      <x:c r="E36" s="11"/>
      <x:c r="F36" s="11"/>
      <x:c r="G36" s="11"/>
      <x:c r="H36" s="11"/>
      <x:c r="I36" s="11"/>
    </x:row>
    <x:row r="37" ht="30" customHeight="1">
      <x:c r="A37" s="31" t="s">
        <x:v>247</x:v>
      </x:c>
      <x:c r="B37" s="11" t="s">
        <x:v>248</x:v>
      </x:c>
      <x:c r="C37" s="11"/>
      <x:c r="D37" s="11"/>
      <x:c r="E37" s="11"/>
      <x:c r="F37" s="11"/>
      <x:c r="G37" s="11"/>
      <x:c r="H37" s="11"/>
      <x:c r="I37" s="11"/>
    </x:row>
    <x:row r="38" ht="15" customHeight="1">
      <x:c r="A38" s="31" t="s">
        <x:v>249</x:v>
      </x:c>
      <x:c r="B38" s="11" t="s">
        <x:v>250</x:v>
      </x:c>
      <x:c r="C38" s="11"/>
      <x:c r="D38" s="11"/>
      <x:c r="E38" s="11"/>
      <x:c r="F38" s="11"/>
      <x:c r="G38" s="11"/>
      <x:c r="H38" s="11"/>
      <x:c r="I38" s="11"/>
    </x:row>
    <x:row r="39" ht="15" customHeight="1">
      <x:c r="A39" s="31" t="s">
        <x:v>251</x:v>
      </x:c>
      <x:c r="B39" s="11" t="s">
        <x:v>252</x:v>
      </x:c>
      <x:c r="C39" s="11"/>
      <x:c r="D39" s="11"/>
      <x:c r="E39" s="11"/>
      <x:c r="F39" s="11"/>
      <x:c r="G39" s="11"/>
      <x:c r="H39" s="11"/>
      <x:c r="I39" s="11"/>
    </x:row>
    <x:row r="40" ht="15" customHeight="1">
      <x:c r="A40" s="31" t="s">
        <x:v>253</x:v>
      </x:c>
      <x:c r="B40" s="11" t="s">
        <x:v>254</x:v>
      </x:c>
      <x:c r="C40" s="11"/>
      <x:c r="D40" s="11"/>
      <x:c r="E40" s="11"/>
      <x:c r="F40" s="11"/>
      <x:c r="G40" s="11"/>
      <x:c r="H40" s="11"/>
      <x:c r="I40" s="11"/>
    </x:row>
  </x:sheetData>
  <x:mergeCells>
    <x:mergeCell ref="B39:I39"/>
    <x:mergeCell ref="B40:I40"/>
    <x:mergeCell ref="A33:I33"/>
    <x:mergeCell ref="A34:I34"/>
    <x:mergeCell ref="B36:I36"/>
    <x:mergeCell ref="B37:I37"/>
    <x:mergeCell ref="B38:I38"/>
  </x:mergeCells>
  <x:dataValidations count="2">
    <x:dataValidation type="list" allowBlank="1" sqref="B6">
      <x:formula1>"Theo người dùng,Theo lượt dùng,Theo kết quả,Kết hợp (phí cố định + vượt hạn mức)"</x:formula1>
      <x:formula2>0</x:formula2>
    </x:dataValidation>
    <x:dataValidation type="decimal" allowBlank="1" showErrorMessage="1" error="Nhập tỷ lệ từ 0% đến 90%." sqref="B27">
      <x:formula1>0</x:formula1>
      <x:formula2>0.9</x:formula2>
    </x:dataValidation>
  </x:dataValidations>
  <x:pageMargins left="0.7" right="0.7" top="0.75" bottom="0.75" header="0.3" footer="0.3"/>
</x:worksheet>
</file>

<file path=xl/worksheets/sheet6.xml><?xml version="1.0" encoding="utf-8"?>
<x:worksheet xmlns:x="http://schemas.openxmlformats.org/spreadsheetml/2006/main">
  <x:sheetFormatPr baseColWidth="10" defaultColWidth="8.6640625" defaultRowHeight="15"/>
  <x:cols>
    <x:col min="1" max="1" width="44" customWidth="1"/>
    <x:col min="2" max="4" width="18" customWidth="1"/>
    <x:col min="5" max="5" width="14" customWidth="1"/>
    <x:col min="6" max="6" width="50" customWidth="1"/>
    <x:col min="7" max="7" width="56" customWidth="1"/>
  </x:cols>
  <x:sheetData>
    <x:row r="1" ht="17.25" customHeight="1">
      <x:c r="A1" s="12" t="s">
        <x:v>255</x:v>
      </x:c>
    </x:row>
    <x:row r="2" ht="15" customHeight="1">
      <x:c r="A2" s="19" t="s">
        <x:v>256</x:v>
      </x:c>
    </x:row>
    <x:row r="4" ht="15" customHeight="1">
      <x:c r="A4" s="24" t="s">
        <x:v>257</x:v>
      </x:c>
      <x:c r="B4" s="24" t="s">
        <x:v>258</x:v>
      </x:c>
      <x:c r="C4" s="24" t="s">
        <x:v>259</x:v>
      </x:c>
      <x:c r="D4" s="24" t="s">
        <x:v>260</x:v>
      </x:c>
      <x:c r="E4" s="24" t="s">
        <x:v>145</x:v>
      </x:c>
      <x:c r="F4" s="24" t="s">
        <x:v>146</x:v>
      </x:c>
      <x:c r="G4" s="24" t="s">
        <x:v>261</x:v>
      </x:c>
    </x:row>
    <x:row r="5" ht="31.5" customHeight="1">
      <x:c r="A5" s="71" t="s">
        <x:v>262</x:v>
      </x:c>
      <x:c r="B5" s="72" t="n">
        <x:v>1.1</x:v>
      </x:c>
      <x:c r="C5" s="72" t="n">
        <x:v>1</x:v>
      </x:c>
      <x:c r="D5" s="72" t="n">
        <x:v>0.8</x:v>
      </x:c>
      <x:c r="E5" s="48" t="s">
        <x:v>263</x:v>
      </x:c>
      <x:c r="F5" s="73" t="str">
        <x:v>Kịch bản: lạc quan +10%, cơ sở giữ giá Day 22, xấu giảm 20%</x:v>
      </x:c>
      <x:c r="G5" s="50" t="s">
        <x:v>264</x:v>
      </x:c>
    </x:row>
    <x:row r="6" ht="31.5" customHeight="1">
      <x:c r="A6" s="71" t="s">
        <x:v>265</x:v>
      </x:c>
      <x:c r="B6" s="72" t="n">
        <x:v>0.9</x:v>
      </x:c>
      <x:c r="C6" s="72" t="n">
        <x:v>1</x:v>
      </x:c>
      <x:c r="D6" s="72" t="n">
        <x:v>1.2</x:v>
      </x:c>
      <x:c r="E6" s="48" t="s">
        <x:v>263</x:v>
      </x:c>
      <x:c r="F6" s="73" t="str">
        <x:v>Kịch bản: lạc quan giảm 10% COGS, xấu tăng 20% do token/retry</x:v>
      </x:c>
      <x:c r="G6" s="50" t="s">
        <x:v>266</x:v>
      </x:c>
    </x:row>
    <x:row r="7" ht="31.5" customHeight="1">
      <x:c r="A7" s="71" t="s">
        <x:v>267</x:v>
      </x:c>
      <x:c r="B7" s="74" t="n">
        <x:v>13</x:v>
      </x:c>
      <x:c r="C7" s="74" t="n">
        <x:v>10</x:v>
      </x:c>
      <x:c r="D7" s="74" t="n">
        <x:v>5</x:v>
      </x:c>
      <x:c r="E7" s="48" t="s">
        <x:v>268</x:v>
      </x:c>
      <x:c r="F7" s="73" t="str">
        <x:v>Giả định từ kế hoạch Day 22: pilot 10 paid; lạc quan 13, xấu 5</x:v>
      </x:c>
      <x:c r="G7" s="50" t="s">
        <x:v>269</x:v>
      </x:c>
    </x:row>
    <x:row r="8" ht="46.5" customHeight="1">
      <x:c r="A8" s="71" t="s">
        <x:v>270</x:v>
      </x:c>
      <x:c r="B8" s="52" t="n">
        <x:v>0.08</x:v>
      </x:c>
      <x:c r="C8" s="52" t="n">
        <x:v>0.05</x:v>
      </x:c>
      <x:c r="D8" s="52" t="n">
        <x:v>0.02</x:v>
      </x:c>
      <x:c r="E8" s="48" t="s">
        <x:v>167</x:v>
      </x:c>
      <x:c r="F8" s="73" t="str">
        <x:v>Giả định chưa đo: 8% / 5% / 2%; sẽ đo số paid mới theo tháng</x:v>
      </x:c>
      <x:c r="G8" s="50" t="s">
        <x:v>271</x:v>
      </x:c>
    </x:row>
    <x:row r="9" ht="43.5" customHeight="1">
      <x:c r="A9" s="71" t="s">
        <x:v>272</x:v>
      </x:c>
      <x:c r="B9" s="52" t="n">
        <x:v>0.03</x:v>
      </x:c>
      <x:c r="C9" s="52" t="n">
        <x:v>0.05</x:v>
      </x:c>
      <x:c r="D9" s="52" t="n">
        <x:v>0.08</x:v>
      </x:c>
      <x:c r="E9" s="48" t="s">
        <x:v>167</x:v>
      </x:c>
      <x:c r="F9" s="73" t="str">
        <x:v>Giả định chưa đo: 3% / 5% / 8%; xấu bằng 1,6× cơ sở; sẽ đo churn paid</x:v>
      </x:c>
      <x:c r="G9" s="50" t="s">
        <x:v>273</x:v>
      </x:c>
    </x:row>
    <x:row r="10" ht="31.5" customHeight="1">
      <x:c r="A10" s="71" t="s">
        <x:v>274</x:v>
      </x:c>
      <x:c r="B10" s="75" t="n">
        <x:v>250272</x:v>
      </x:c>
      <x:c r="C10" s="75" t="n">
        <x:v>312840</x:v>
      </x:c>
      <x:c r="D10" s="75" t="n">
        <x:v>469260</x:v>
      </x:c>
      <x:c r="E10" s="48" t="s">
        <x:v>275</x:v>
      </x:c>
      <x:c r="F10" s="73" t="str">
        <x:v>Day 22: CAC PLG mục tiêu 12 USD = 312.840 VND; xấu đúng 1,5×</x:v>
      </x:c>
      <x:c r="G10" s="50" t="s">
        <x:v>276</x:v>
      </x:c>
    </x:row>
    <x:row r="11" ht="46.5" customHeight="1">
      <x:c r="A11" s="71" t="s">
        <x:v>277</x:v>
      </x:c>
      <x:c r="B11" s="75" t="n">
        <x:v>12000000</x:v>
      </x:c>
      <x:c r="C11" s="75" t="n">
        <x:v>15000000</x:v>
      </x:c>
      <x:c r="D11" s="75" t="n">
        <x:v>18000000</x:v>
      </x:c>
      <x:c r="E11" s="48" t="s">
        <x:v>212</x:v>
      </x:c>
      <x:c r="F11" s="73" t="str">
        <x:v>Giả định: đội part-time, hạ tầng cố định và kiểm thử lại; sẽ đối chiếu hóa đơn/lương</x:v>
      </x:c>
      <x:c r="G11" s="23" t="s">
        <x:v>278</x:v>
      </x:c>
    </x:row>
    <x:row r="12" ht="76.5" customHeight="1">
      <x:c r="A12" s="21" t="s">
        <x:v>279</x:v>
      </x:c>
      <x:c r="B12" s="75" t="n">
        <x:v>40000000</x:v>
      </x:c>
      <x:c r="C12" s="75" t="n">
        <x:v>52140000</x:v>
      </x:c>
      <x:c r="D12" s="75" t="n">
        <x:v>65000000</x:v>
      </x:c>
      <x:c r="E12" s="48" t="s">
        <x:v>170</x:v>
      </x:c>
      <x:c r="F12" s="73" t="str">
        <x:v>Giả định: công làm MVP, eval, dữ liệu và thử sai; cơ sở tương đương 2.000 USD</x:v>
      </x:c>
      <x:c r="G12" s="23" t="s">
        <x:v>280</x:v>
      </x:c>
    </x:row>
    <x:row r="13" ht="31.5" customHeight="1">
      <x:c r="A13" s="71" t="s">
        <x:v>281</x:v>
      </x:c>
      <x:c r="B13" s="75" t="n">
        <x:v>120000000</x:v>
      </x:c>
      <x:c r="C13" s="75" t="n">
        <x:v>100000000</x:v>
      </x:c>
      <x:c r="D13" s="75" t="n">
        <x:v>80000000</x:v>
      </x:c>
      <x:c r="E13" s="48" t="s">
        <x:v>170</x:v>
      </x:c>
      <x:c r="F13" s="73" t="str">
        <x:v>Giả định ngân sách trước chi xây dựng để kiểm tra runway</x:v>
      </x:c>
      <x:c r="G13" s="50" t="s">
        <x:v>282</x:v>
      </x:c>
    </x:row>
    <x:row r="14" ht="15.75" customHeight="1">
      <x:c r="A14" s="46" t="s">
        <x:v>283</x:v>
      </x:c>
      <x:c r="B14" s="52">
        <x:v>0.15</x:v>
      </x:c>
      <x:c r="C14" s="52">
        <x:v>0.15</x:v>
      </x:c>
      <x:c r="D14" s="52">
        <x:v>0.15</x:v>
      </x:c>
      <x:c r="E14" s="48" t="s">
        <x:v>167</x:v>
      </x:c>
      <x:c r="F14" s="76" t="str">
        <x:v>Giữ 15% theo giả định của lớp</x:v>
      </x:c>
      <x:c r="G14" s="50" t="s">
        <x:v>284</x:v>
      </x:c>
    </x:row>
    <x:row r="16" ht="15" customHeight="1">
      <x:c r="A16" s="15" t="s">
        <x:v>285</x:v>
      </x:c>
    </x:row>
    <x:row r="17" ht="15" customHeight="1">
      <x:c r="A17" s="53" t="s">
        <x:v>286</x:v>
      </x:c>
      <x:c r="B17" s="54" t="n">
        <x:f>'2_Định giá'!D17*B5*(1-'2_Định giá'!$B$27)</x:f>
        <x:v>262416</x:v>
      </x:c>
      <x:c r="C17" s="54" t="n">
        <x:f>'2_Định giá'!D17*C5*(1-'2_Định giá'!$B$27)</x:f>
        <x:v>238560</x:v>
      </x:c>
      <x:c r="D17" s="54" t="n">
        <x:f>'2_Định giá'!D17*D5*(1-'2_Định giá'!$B$27)</x:f>
        <x:v>190848</x:v>
      </x:c>
    </x:row>
    <x:row r="18" ht="15" customHeight="1">
      <x:c r="A18" s="53" t="s">
        <x:v>287</x:v>
      </x:c>
      <x:c r="B18" s="54" t="n">
        <x:f>'2_Định giá'!E17*B6</x:f>
        <x:v>45685.276560000006</x:v>
      </x:c>
      <x:c r="C18" s="54" t="n">
        <x:f>'2_Định giá'!E17*C6</x:f>
        <x:v>50761.4184</x:v>
      </x:c>
      <x:c r="D18" s="54" t="n">
        <x:f>'2_Định giá'!E17*D6</x:f>
        <x:v>60913.70208</x:v>
      </x:c>
    </x:row>
    <x:row r="19" ht="15" customHeight="1">
      <x:c r="A19" s="57" t="s">
        <x:v>288</x:v>
      </x:c>
    </x:row>
    <x:row r="20" ht="15" customHeight="1">
      <x:c r="A20" s="15" t="s">
        <x:v>289</x:v>
      </x:c>
    </x:row>
    <x:row r="21" ht="15" customHeight="1">
      <x:c r="A21" t="s">
        <x:v>290</x:v>
      </x:c>
      <x:c r="B21" s="66" t="str">
        <x:f>IF(C9=0,"Chưa điền",IF(D9&gt;=1.5*C9,"Đạt","Chưa đủ sốc"))</x:f>
        <x:v>Đạt</x:v>
      </x:c>
    </x:row>
    <x:row r="22" ht="15" customHeight="1">
      <x:c r="A22" t="s">
        <x:v>291</x:v>
      </x:c>
      <x:c r="B22" s="66" t="str">
        <x:f>IF(C10=0,"Chưa điền",IF(D10&gt;=1.5*C10,"Đạt","Chưa đủ sốc"))</x:f>
        <x:v>Đạt</x:v>
      </x:c>
    </x:row>
  </x:sheetData>
  <x:pageMargins left="0.7" right="0.7" top="0.75" bottom="0.75" header="0.3" footer="0.3"/>
</x:worksheet>
</file>

<file path=xl/worksheets/sheet7.xml><?xml version="1.0" encoding="utf-8"?>
<x:worksheet xmlns:x="http://schemas.openxmlformats.org/spreadsheetml/2006/main">
  <x:sheetFormatPr baseColWidth="10" defaultColWidth="8.6640625" defaultRowHeight="15"/>
  <x:cols>
    <x:col min="1" max="1" width="40" customWidth="1"/>
    <x:col min="2" max="4" width="18" customWidth="1"/>
    <x:col min="5" max="5" width="20" customWidth="1"/>
  </x:cols>
  <x:sheetData>
    <x:row r="1" ht="17.25" customHeight="1">
      <x:c r="A1" s="12" t="s">
        <x:v>292</x:v>
      </x:c>
    </x:row>
    <x:row r="2" ht="15" customHeight="1">
      <x:c r="A2" s="19" t="s">
        <x:v>293</x:v>
      </x:c>
    </x:row>
    <x:row r="4" ht="15" customHeight="1">
      <x:c r="A4" s="24" t="s">
        <x:v>294</x:v>
      </x:c>
      <x:c r="B4" s="24" t="s">
        <x:v>258</x:v>
      </x:c>
      <x:c r="C4" s="24" t="s">
        <x:v>259</x:v>
      </x:c>
      <x:c r="D4" s="24" t="s">
        <x:v>260</x:v>
      </x:c>
      <x:c r="E4" s="24" t="s">
        <x:v>295</x:v>
      </x:c>
    </x:row>
    <x:row r="5" ht="15" customHeight="1">
      <x:c r="A5" s="53" t="s">
        <x:v>286</x:v>
      </x:c>
      <x:c r="B5" s="54" t="n">
        <x:f>'3_Giả định'!B17</x:f>
        <x:v>262416</x:v>
      </x:c>
      <x:c r="C5" s="54" t="n">
        <x:f>'3_Giả định'!C17</x:f>
        <x:v>238560</x:v>
      </x:c>
      <x:c r="D5" s="54" t="n">
        <x:f>'3_Giả định'!D17</x:f>
        <x:v>190848</x:v>
      </x:c>
    </x:row>
    <x:row r="6" ht="15" customHeight="1">
      <x:c r="A6" s="53" t="s">
        <x:v>296</x:v>
      </x:c>
      <x:c r="B6" s="54" t="n">
        <x:f>'3_Giả định'!B17-'3_Giả định'!B18</x:f>
        <x:v>216730.72344</x:v>
      </x:c>
      <x:c r="C6" s="54" t="n">
        <x:f>'3_Giả định'!C17-'3_Giả định'!C18</x:f>
        <x:v>187798.5816</x:v>
      </x:c>
      <x:c r="D6" s="54" t="n">
        <x:f>'3_Giả định'!D17-'3_Giả định'!D18</x:f>
        <x:v>129934.29792</x:v>
      </x:c>
    </x:row>
    <x:row r="7" ht="15" customHeight="1">
      <x:c r="A7" s="53" t="s">
        <x:v>87</x:v>
      </x:c>
      <x:c r="B7" s="56" t="n">
        <x:f>IFERROR(B6/B5,0)</x:f>
        <x:v>0.8259051408450704</x:v>
      </x:c>
      <x:c r="C7" s="56" t="n">
        <x:f>IFERROR(C6/C5,0)</x:f>
        <x:v>0.7872173943661972</x:v>
      </x:c>
      <x:c r="D7" s="56" t="n">
        <x:f>IFERROR(D6/D5,0)</x:f>
        <x:v>0.6808260915492957</x:v>
      </x:c>
      <x:c r="E7" t="s">
        <x:v>297</x:v>
      </x:c>
    </x:row>
    <x:row r="8" ht="15" customHeight="1">
      <x:c r="A8" s="53" t="s">
        <x:v>298</x:v>
      </x:c>
      <x:c r="B8" s="77" t="n">
        <x:f>IFERROR(1/'3_Giả định'!B9,0)</x:f>
        <x:v>33.333333333333336</x:v>
      </x:c>
      <x:c r="C8" s="77" t="n">
        <x:f>IFERROR(1/'3_Giả định'!C9,0)</x:f>
        <x:v>20</x:v>
      </x:c>
      <x:c r="D8" s="77" t="n">
        <x:f>IFERROR(1/'3_Giả định'!D9,0)</x:f>
        <x:v>12.5</x:v>
      </x:c>
    </x:row>
    <x:row r="9" ht="15" customHeight="1">
      <x:c r="A9" s="53" t="s">
        <x:v>299</x:v>
      </x:c>
      <x:c r="B9" s="54" t="n">
        <x:f>B6*B8</x:f>
        <x:v>7224357.448000001</x:v>
      </x:c>
      <x:c r="C9" s="54" t="n">
        <x:f>C6*C8</x:f>
        <x:v>3755971.632</x:v>
      </x:c>
      <x:c r="D9" s="54" t="n">
        <x:f>D6*D8</x:f>
        <x:v>1624178.724</x:v>
      </x:c>
    </x:row>
    <x:row r="10" ht="15" customHeight="1">
      <x:c r="A10" s="53" t="s">
        <x:v>300</x:v>
      </x:c>
      <x:c r="B10" s="54" t="n">
        <x:f>'3_Giả định'!B10</x:f>
        <x:v>250272</x:v>
      </x:c>
      <x:c r="C10" s="54" t="n">
        <x:f>'3_Giả định'!C10</x:f>
        <x:v>312840</x:v>
      </x:c>
      <x:c r="D10" s="54" t="n">
        <x:f>'3_Giả định'!D10</x:f>
        <x:v>469260</x:v>
      </x:c>
    </x:row>
    <x:row r="11" ht="15" customHeight="1">
      <x:c r="A11" s="53" t="s">
        <x:v>301</x:v>
      </x:c>
      <x:c r="B11" s="78" t="n">
        <x:f>IFERROR(B9/B10,0)</x:f>
        <x:v>28.866023558368497</x:v>
      </x:c>
      <x:c r="C11" s="78" t="n">
        <x:f>IFERROR(C9/C10,0)</x:f>
        <x:v>12.006046643651707</x:v>
      </x:c>
      <x:c r="D11" s="78" t="n">
        <x:f>IFERROR(D9/D10,0)</x:f>
        <x:v>3.4611488812172353</x:v>
      </x:c>
      <x:c r="E11" s="14" t="s">
        <x:v>302</x:v>
      </x:c>
    </x:row>
    <x:row r="12" ht="15" customHeight="1">
      <x:c r="A12" s="53" t="s">
        <x:v>303</x:v>
      </x:c>
      <x:c r="B12" s="77" t="n">
        <x:f>IFERROR(B10/B6,0)</x:f>
        <x:v>1.1547601374997745</x:v>
      </x:c>
      <x:c r="C12" s="77" t="n">
        <x:f>IFERROR(C10/C6,0)</x:f>
        <x:v>1.665827278005384</x:v>
      </x:c>
      <x:c r="D12" s="77" t="n">
        <x:f>IFERROR(D10/D6,0)</x:f>
        <x:v>3.6115175708951104</x:v>
      </x:c>
      <x:c r="E12" t="s">
        <x:v>304</x:v>
      </x:c>
    </x:row>
    <x:row r="13" ht="15" customHeight="1">
      <x:c r="A13" s="53" t="s">
        <x:v>305</x:v>
      </x:c>
      <x:c r="B13" s="79" t="str">
        <x:f>IF(B5&lt;=0,"Chưa điền trang 2–3",IF(B6&lt;=0,"Lỗ trên từng khách",IF(AND(B11&gt;3,B12&lt;12,B7&gt;=0.6),"Khỏe",IF(B11&gt;=1,"Cần cải thiện","Đốt tiền"))))</x:f>
        <x:v>Khỏe</x:v>
      </x:c>
      <x:c r="C13" s="79" t="str">
        <x:f>IF(C5&lt;=0,"Chưa điền trang 2–3",IF(C6&lt;=0,"Lỗ trên từng khách",IF(AND(C11&gt;3,C12&lt;12,C7&gt;=0.6),"Khỏe",IF(C11&gt;=1,"Cần cải thiện","Đốt tiền"))))</x:f>
        <x:v>Khỏe</x:v>
      </x:c>
      <x:c r="D13" s="79" t="str">
        <x:f>IF(D5&lt;=0,"Chưa điền trang 2–3",IF(D6&lt;=0,"Lỗ trên từng khách",IF(AND(D11&gt;3,D12&lt;12,D7&gt;=0.6),"Khỏe",IF(D11&gt;=1,"Cần cải thiện","Đốt tiền"))))</x:f>
        <x:v>Khỏe</x:v>
      </x:c>
    </x:row>
  </x:sheetData>
  <x:pageMargins left="0.7" right="0.7" top="0.75" bottom="0.75" header="0.3" footer="0.3"/>
</x:worksheet>
</file>

<file path=xl/worksheets/sheet8.xml><?xml version="1.0" encoding="utf-8"?>
<x:worksheet xmlns:x="http://schemas.openxmlformats.org/spreadsheetml/2006/main">
  <x:sheetViews>
    <x:sheetView workbookViewId="0">
      <x:pane xSplit="1" ySplit="4" topLeftCell="B5" activePane="bottomRight" state="frozen"/>
    </x:sheetView>
  </x:sheetViews>
  <x:sheetFormatPr baseColWidth="10" defaultColWidth="8.6640625" defaultRowHeight="15"/>
  <x:cols>
    <x:col min="1" max="1" width="38" customWidth="1"/>
    <x:col min="2" max="26" width="18" customWidth="1"/>
  </x:cols>
  <x:sheetData>
    <x:row r="1" ht="17.25" customHeight="1">
      <x:c r="A1" s="12" t="s">
        <x:v>306</x:v>
      </x:c>
    </x:row>
    <x:row r="2" ht="15" customHeight="1">
      <x:c r="A2" s="19" t="s">
        <x:v>307</x:v>
      </x:c>
    </x:row>
    <x:row r="4" ht="15" customHeight="1">
      <x:c r="A4" s="24" t="s">
        <x:v>308</x:v>
      </x:c>
      <x:c r="B4" s="24" t="s">
        <x:v>309</x:v>
      </x:c>
      <x:c r="C4" s="24" t="s">
        <x:v>310</x:v>
      </x:c>
      <x:c r="D4" s="24" t="s">
        <x:v>311</x:v>
      </x:c>
      <x:c r="E4" s="24" t="s">
        <x:v>312</x:v>
      </x:c>
      <x:c r="F4" s="24" t="s">
        <x:v>313</x:v>
      </x:c>
      <x:c r="G4" s="24" t="s">
        <x:v>314</x:v>
      </x:c>
      <x:c r="H4" s="24" t="s">
        <x:v>315</x:v>
      </x:c>
      <x:c r="I4" s="24" t="s">
        <x:v>316</x:v>
      </x:c>
      <x:c r="J4" s="24" t="s">
        <x:v>317</x:v>
      </x:c>
      <x:c r="K4" s="24" t="s">
        <x:v>318</x:v>
      </x:c>
      <x:c r="L4" s="24" t="s">
        <x:v>319</x:v>
      </x:c>
      <x:c r="M4" s="24" t="s">
        <x:v>320</x:v>
      </x:c>
      <x:c r="N4" s="24" t="s">
        <x:v>321</x:v>
      </x:c>
      <x:c r="O4" s="24" t="s">
        <x:v>322</x:v>
      </x:c>
      <x:c r="P4" s="24" t="s">
        <x:v>323</x:v>
      </x:c>
      <x:c r="Q4" s="24" t="s">
        <x:v>324</x:v>
      </x:c>
      <x:c r="R4" s="24" t="s">
        <x:v>325</x:v>
      </x:c>
      <x:c r="S4" s="24" t="s">
        <x:v>326</x:v>
      </x:c>
      <x:c r="T4" s="24" t="s">
        <x:v>327</x:v>
      </x:c>
      <x:c r="U4" s="24" t="s">
        <x:v>328</x:v>
      </x:c>
      <x:c r="V4" s="24" t="s">
        <x:v>329</x:v>
      </x:c>
      <x:c r="W4" s="24" t="s">
        <x:v>330</x:v>
      </x:c>
      <x:c r="X4" s="24" t="s">
        <x:v>331</x:v>
      </x:c>
      <x:c r="Y4" s="24" t="s">
        <x:v>332</x:v>
      </x:c>
      <x:c r="Z4" s="24" t="s">
        <x:v>333</x:v>
      </x:c>
    </x:row>
    <x:row r="5" ht="15" customHeight="1">
      <x:c r="A5" s="80" t="s">
        <x:v>334</x:v>
      </x:c>
    </x:row>
    <x:row r="6" ht="15" customHeight="1">
      <x:c r="A6" s="53" t="s">
        <x:v>335</x:v>
      </x:c>
      <x:c r="C6" s="81" t="n">
        <x:f>'3_Giả định'!$B$7*(1+'3_Giả định'!$B$8)^0</x:f>
        <x:v>13</x:v>
      </x:c>
      <x:c r="D6" s="81" t="n">
        <x:f>'3_Giả định'!$B$7*(1+'3_Giả định'!$B$8)^1</x:f>
        <x:v>14.040000000000001</x:v>
      </x:c>
      <x:c r="E6" s="81" t="n">
        <x:f>'3_Giả định'!$B$7*(1+'3_Giả định'!$B$8)^2</x:f>
        <x:v>15.163200000000002</x:v>
      </x:c>
      <x:c r="F6" s="81" t="n">
        <x:f>'3_Giả định'!$B$7*(1+'3_Giả định'!$B$8)^3</x:f>
        <x:v>16.376256</x:v>
      </x:c>
      <x:c r="G6" s="81" t="n">
        <x:f>'3_Giả định'!$B$7*(1+'3_Giả định'!$B$8)^4</x:f>
        <x:v>17.686356480000004</x:v>
      </x:c>
      <x:c r="H6" s="81" t="n">
        <x:f>'3_Giả định'!$B$7*(1+'3_Giả định'!$B$8)^5</x:f>
        <x:v>19.10126499840001</x:v>
      </x:c>
      <x:c r="I6" s="81" t="n">
        <x:f>'3_Giả định'!$B$7*(1+'3_Giả định'!$B$8)^6</x:f>
        <x:v>20.629366198272006</x:v>
      </x:c>
      <x:c r="J6" s="81" t="n">
        <x:f>'3_Giả định'!$B$7*(1+'3_Giả định'!$B$8)^7</x:f>
        <x:v>22.27971549413377</x:v>
      </x:c>
      <x:c r="K6" s="81" t="n">
        <x:f>'3_Giả định'!$B$7*(1+'3_Giả định'!$B$8)^8</x:f>
        <x:v>24.06209273366447</x:v>
      </x:c>
      <x:c r="L6" s="81" t="n">
        <x:f>'3_Giả định'!$B$7*(1+'3_Giả định'!$B$8)^9</x:f>
        <x:v>25.987060152357632</x:v>
      </x:c>
      <x:c r="M6" s="81" t="n">
        <x:f>'3_Giả định'!$B$7*(1+'3_Giả định'!$B$8)^10</x:f>
        <x:v>28.066024964546248</x:v>
      </x:c>
      <x:c r="N6" s="81" t="n">
        <x:f>'3_Giả định'!$B$7*(1+'3_Giả định'!$B$8)^11</x:f>
        <x:v>30.311306961709946</x:v>
      </x:c>
      <x:c r="O6" s="81" t="n">
        <x:f>'3_Giả định'!$B$7*(1+'3_Giả định'!$B$8)^12</x:f>
        <x:v>32.73621151864674</x:v>
      </x:c>
      <x:c r="P6" s="81" t="n">
        <x:f>'3_Giả định'!$B$7*(1+'3_Giả định'!$B$8)^13</x:f>
        <x:v>35.35510844013849</x:v>
      </x:c>
      <x:c r="Q6" s="81" t="n">
        <x:f>'3_Giả định'!$B$7*(1+'3_Giả định'!$B$8)^14</x:f>
        <x:v>38.18351711534957</x:v>
      </x:c>
      <x:c r="R6" s="81" t="n">
        <x:f>'3_Giả định'!$B$7*(1+'3_Giả định'!$B$8)^15</x:f>
        <x:v>41.23819848457754</x:v>
      </x:c>
      <x:c r="S6" s="81" t="n">
        <x:f>'3_Giả định'!$B$7*(1+'3_Giả định'!$B$8)^16</x:f>
        <x:v>44.53725436334374</x:v>
      </x:c>
      <x:c r="T6" s="81" t="n">
        <x:f>'3_Giả định'!$B$7*(1+'3_Giả định'!$B$8)^17</x:f>
        <x:v>48.10023471241125</x:v>
      </x:c>
      <x:c r="U6" s="81" t="n">
        <x:f>'3_Giả định'!$B$7*(1+'3_Giả định'!$B$8)^18</x:f>
        <x:v>51.948253489404145</x:v>
      </x:c>
      <x:c r="V6" s="81" t="n">
        <x:f>'3_Giả định'!$B$7*(1+'3_Giả định'!$B$8)^19</x:f>
        <x:v>56.10411376855648</x:v>
      </x:c>
      <x:c r="W6" s="81" t="n">
        <x:f>'3_Giả định'!$B$7*(1+'3_Giả định'!$B$8)^20</x:f>
        <x:v>60.592442870041005</x:v>
      </x:c>
      <x:c r="X6" s="81" t="n">
        <x:f>'3_Giả định'!$B$7*(1+'3_Giả định'!$B$8)^21</x:f>
        <x:v>65.4398382996443</x:v>
      </x:c>
      <x:c r="Y6" s="81" t="n">
        <x:f>'3_Giả định'!$B$7*(1+'3_Giả định'!$B$8)^22</x:f>
        <x:v>70.67502536361584</x:v>
      </x:c>
      <x:c r="Z6" s="81" t="n">
        <x:f>'3_Giả định'!$B$7*(1+'3_Giả định'!$B$8)^23</x:f>
        <x:v>76.3290273927051</x:v>
      </x:c>
    </x:row>
    <x:row r="7" ht="15" customHeight="1">
      <x:c r="A7" s="53" t="s">
        <x:v>336</x:v>
      </x:c>
      <x:c r="B7">
        <x:v>0</x:v>
      </x:c>
      <x:c r="C7" s="81" t="n">
        <x:f>B7*(1-'3_Giả định'!$B$9)+C6</x:f>
        <x:v>13</x:v>
      </x:c>
      <x:c r="D7" s="81" t="n">
        <x:f>C7*(1-'3_Giả định'!$B$9)+D6</x:f>
        <x:v>26.65</x:v>
      </x:c>
      <x:c r="E7" s="81" t="n">
        <x:f>D7*(1-'3_Giả định'!$B$9)+E6</x:f>
        <x:v>41.0137</x:v>
      </x:c>
      <x:c r="F7" s="81" t="n">
        <x:f>E7*(1-'3_Giả định'!$B$9)+F6</x:f>
        <x:v>56.159544999999994</x:v>
      </x:c>
      <x:c r="G7" s="81" t="n">
        <x:f>F7*(1-'3_Giả định'!$B$9)+G6</x:f>
        <x:v>72.16111513</x:v>
      </x:c>
      <x:c r="H7" s="81" t="n">
        <x:f>G7*(1-'3_Giả định'!$B$9)+H6</x:f>
        <x:v>89.09754667450001</x:v>
      </x:c>
      <x:c r="I7" s="81" t="n">
        <x:f>H7*(1-'3_Giả định'!$B$9)+I6</x:f>
        <x:v>107.05398647253702</x:v>
      </x:c>
      <x:c r="J7" s="81" t="n">
        <x:f>I7*(1-'3_Giả định'!$B$9)+J6</x:f>
        <x:v>126.12208237249467</x:v>
      </x:c>
      <x:c r="K7" s="81" t="n">
        <x:f>J7*(1-'3_Giả định'!$B$9)+K6</x:f>
        <x:v>146.4005126349843</x:v>
      </x:c>
      <x:c r="L7" s="81" t="n">
        <x:f>K7*(1-'3_Giả định'!$B$9)+L6</x:f>
        <x:v>167.9955574082924</x:v>
      </x:c>
      <x:c r="M7" s="81" t="n">
        <x:f>L7*(1-'3_Giả định'!$B$9)+M6</x:f>
        <x:v>191.02171565058987</x:v>
      </x:c>
      <x:c r="N7" s="81" t="n">
        <x:f>M7*(1-'3_Giả định'!$B$9)+N6</x:f>
        <x:v>215.6023711427821</x:v>
      </x:c>
      <x:c r="O7" s="81" t="n">
        <x:f>N7*(1-'3_Giả định'!$B$9)+O6</x:f>
        <x:v>241.87051152714537</x:v>
      </x:c>
      <x:c r="P7" s="81" t="n">
        <x:f>O7*(1-'3_Giả định'!$B$9)+P6</x:f>
        <x:v>269.96950462146947</x:v>
      </x:c>
      <x:c r="Q7" s="81" t="n">
        <x:f>P7*(1-'3_Giả định'!$B$9)+Q6</x:f>
        <x:v>300.0539365981749</x:v>
      </x:c>
      <x:c r="R7" s="81" t="n">
        <x:f>Q7*(1-'3_Giả định'!$B$9)+R6</x:f>
        <x:v>332.2905169848072</x:v>
      </x:c>
      <x:c r="S7" s="81" t="n">
        <x:f>R7*(1-'3_Giả định'!$B$9)+S6</x:f>
        <x:v>366.8590558386067</x:v>
      </x:c>
      <x:c r="T7" s="81" t="n">
        <x:f>S7*(1-'3_Giả định'!$B$9)+T6</x:f>
        <x:v>403.95351887585974</x:v>
      </x:c>
      <x:c r="U7" s="81" t="n">
        <x:f>T7*(1-'3_Giả định'!$B$9)+U6</x:f>
        <x:v>443.7831667989881</x:v>
      </x:c>
      <x:c r="V7" s="81" t="n">
        <x:f>U7*(1-'3_Giả định'!$B$9)+V6</x:f>
        <x:v>486.5737855635749</x:v>
      </x:c>
      <x:c r="W7" s="81" t="n">
        <x:f>V7*(1-'3_Giả định'!$B$9)+W6</x:f>
        <x:v>532.5690148667087</x:v>
      </x:c>
      <x:c r="X7" s="81" t="n">
        <x:f>W7*(1-'3_Giả định'!$B$9)+X6</x:f>
        <x:v>582.0317827203518</x:v>
      </x:c>
      <x:c r="Y7" s="81" t="n">
        <x:f>X7*(1-'3_Giả định'!$B$9)+Y6</x:f>
        <x:v>635.2458546023571</x:v>
      </x:c>
      <x:c r="Z7" s="81" t="n">
        <x:f>Y7*(1-'3_Giả định'!$B$9)+Z6</x:f>
        <x:v>692.5175063569915</x:v>
      </x:c>
    </x:row>
    <x:row r="8" ht="15" customHeight="1">
      <x:c r="A8" s="53" t="s">
        <x:v>77</x:v>
      </x:c>
      <x:c r="C8" s="82" t="n">
        <x:f>C7*'3_Giả định'!$B$17</x:f>
        <x:v>3411408</x:v>
      </x:c>
      <x:c r="D8" s="82" t="n">
        <x:f>D7*'3_Giả định'!$B$17</x:f>
        <x:v>6993386.399999999</x:v>
      </x:c>
      <x:c r="E8" s="82" t="n">
        <x:f>E7*'3_Giả định'!$B$17</x:f>
        <x:v>10762651.0992</x:v>
      </x:c>
      <x:c r="F8" s="82" t="n">
        <x:f>F7*'3_Giả định'!$B$17</x:f>
        <x:v>14737163.160719998</x:v>
      </x:c>
      <x:c r="G8" s="82" t="n">
        <x:f>G7*'3_Giả định'!$B$17</x:f>
        <x:v>18936231.18795408</x:v>
      </x:c>
      <x:c r="H8" s="82" t="n">
        <x:f>H7*'3_Giả định'!$B$17</x:f>
        <x:v>23380621.808135595</x:v>
      </x:c>
      <x:c r="I8" s="82" t="n">
        <x:f>I7*'3_Giả định'!$B$17</x:f>
        <x:v>28092678.914177276</x:v>
      </x:c>
      <x:c r="J8" s="82" t="n">
        <x:f>J7*'3_Giả định'!$B$17</x:f>
        <x:v>33096452.367860563</x:v>
      </x:c>
      <x:c r="K8" s="82" t="n">
        <x:f>K7*'3_Giả định'!$B$17</x:f>
        <x:v>38417836.92362204</x:v>
      </x:c>
      <x:c r="L8" s="82" t="n">
        <x:f>L7*'3_Giả định'!$B$17</x:f>
        <x:v>44084722.19285446</x:v>
      </x:c>
      <x:c r="M8" s="82" t="n">
        <x:f>M7*'3_Giả định'!$B$17</x:f>
        <x:v>50127154.53416519</x:v>
      </x:c>
      <x:c r="N8" s="82" t="n">
        <x:f>N7*'3_Giả định'!$B$17</x:f>
        <x:v>56577511.82580431</x:v>
      </x:c>
      <x:c r="O8" s="82" t="n">
        <x:f>O7*'3_Giả định'!$B$17</x:f>
        <x:v>63470692.15290738</x:v>
      </x:c>
      <x:c r="P8" s="82" t="n">
        <x:f>P7*'3_Giả định'!$B$17</x:f>
        <x:v>70844317.52474754</x:v>
      </x:c>
      <x:c r="Q8" s="82" t="n">
        <x:f>Q7*'3_Giả định'!$B$17</x:f>
        <x:v>78738953.82634667</x:v>
      </x:c>
      <x:c r="R8" s="82" t="n">
        <x:f>R7*'3_Giả định'!$B$17</x:f>
        <x:v>87198348.30508517</x:v>
      </x:c>
      <x:c r="S8" s="82" t="n">
        <x:f>S7*'3_Giả định'!$B$17</x:f>
        <x:v>96269685.99694382</x:v>
      </x:c>
      <x:c r="T8" s="82" t="n">
        <x:f>T7*'3_Giả định'!$B$17</x:f>
        <x:v>106003866.60932761</x:v>
      </x:c>
      <x:c r="U8" s="82" t="n">
        <x:f>U7*'3_Giả định'!$B$17</x:f>
        <x:v>116455803.49872325</x:v>
      </x:c>
      <x:c r="V8" s="82" t="n">
        <x:f>V7*'3_Giả định'!$B$17</x:f>
        <x:v>127684746.51245108</x:v>
      </x:c>
      <x:c r="W8" s="82" t="n">
        <x:f>W7*'3_Giả định'!$B$17</x:f>
        <x:v>139754630.60526222</x:v>
      </x:c>
      <x:c r="X8" s="82" t="n">
        <x:f>X7*'3_Giả định'!$B$17</x:f>
        <x:v>152734452.29434383</x:v>
      </x:c>
      <x:c r="Y8" s="82" t="n">
        <x:f>Y7*'3_Giả định'!$B$17</x:f>
        <x:v>166698676.18133214</x:v>
      </x:c>
      <x:c r="Z8" s="82" t="n">
        <x:f>Z7*'3_Giả định'!$B$17</x:f>
        <x:v>181727673.94817626</x:v>
      </x:c>
    </x:row>
    <x:row r="9" ht="15" customHeight="1">
      <x:c r="A9" s="53" t="s">
        <x:v>337</x:v>
      </x:c>
      <x:c r="C9" s="82" t="n">
        <x:f>C7*'3_Giả định'!$B$18</x:f>
        <x:v>593908.5952800001</x:v>
      </x:c>
      <x:c r="D9" s="82" t="n">
        <x:f>D7*'3_Giả định'!$B$18</x:f>
        <x:v>1217512.620324</x:v>
      </x:c>
      <x:c r="E9" s="82" t="n">
        <x:f>E7*'3_Giả định'!$B$18</x:f>
        <x:v>1873722.2272488722</x:v>
      </x:c>
      <x:c r="F9" s="82" t="n">
        <x:f>F7*'3_Giả định'!$B$18</x:f>
        <x:v>2565664.344808765</x:v>
      </x:c>
      <x:c r="G9" s="82" t="n">
        <x:f>G7*'3_Giả định'!$B$18</x:f>
        <x:v>3296700.501592051</x:v>
      </x:c>
      <x:c r="H9" s="82" t="n">
        <x:f>H7*'3_Giả định'!$B$18</x:f>
        <x:v>4070446.0606420417</x:v>
      </x:c>
      <x:c r="I9" s="82" t="n">
        <x:f>I7*'3_Giả định'!$B$18</x:f>
        <x:v>4890790.978848353</x:v>
      </x:c>
      <x:c r="J9" s="82" t="n">
        <x:f>J7*'3_Giả định'!$B$18</x:f>
        <x:v>5761922.213510521</x:v>
      </x:c>
      <x:c r="K9" s="82" t="n">
        <x:f>K7*'3_Giả định'!$B$18</x:f>
        <x:v>6688347.908255032</x:v>
      </x:c>
      <x:c r="L9" s="82" t="n">
        <x:f>L7*'3_Giả định'!$B$18</x:f>
        <x:v>7674923.501049196</x:v>
      </x:c>
      <x:c r="M9" s="82" t="n">
        <x:f>M7*'3_Giả định'!$B$18</x:f>
        <x:v>8726879.90846288</x:v>
      </x:c>
      <x:c r="N9" s="82" t="n">
        <x:f>N7*'3_Giả định'!$B$18</x:f>
        <x:v>9849853.952649765</x:v>
      </x:c>
      <x:c r="O9" s="82" t="n">
        <x:f>O7*'3_Giả định'!$B$18</x:f>
        <x:v>11049921.210826306</x:v>
      </x:c>
      <x:c r="P9" s="82" t="n">
        <x:f>P7*'3_Giả định'!$B$18</x:f>
        <x:v>12333631.481398033</x:v>
      </x:c>
      <x:c r="Q9" s="82" t="n">
        <x:f>Q7*'3_Giả định'!$B$18</x:f>
        <x:v>13708047.076404328</x:v>
      </x:c>
      <x:c r="R9" s="82" t="n">
        <x:f>R7*'3_Giả định'!$B$18</x:f>
        <x:v>15180784.166716296</x:v>
      </x:c>
      <x:c r="S9" s="82" t="n">
        <x:f>S7*'3_Giả định'!$B$18</x:f>
        <x:v>16760057.424527232</x:v>
      </x:c>
      <x:c r="T9" s="82" t="n">
        <x:f>T7*'3_Giả định'!$B$18</x:f>
        <x:v>18454728.227228835</x:v>
      </x:c>
      <x:c r="U9" s="82" t="n">
        <x:f>U7*'3_Giả định'!$B$18</x:f>
        <x:v>20274356.707884382</x:v>
      </x:c>
      <x:c r="V9" s="82" t="n">
        <x:f>V7*'3_Giả định'!$B$18</x:f>
        <x:v>22229257.96031806</x:v>
      </x:c>
      <x:c r="W9" s="82" t="n">
        <x:f>W7*'3_Giả định'!$B$18</x:f>
        <x:v>24330562.731472343</x:v>
      </x:c>
      <x:c r="X9" s="82" t="n">
        <x:f>X7*'3_Giả định'!$B$18</x:f>
        <x:v>26590282.960289102</x:v>
      </x:c>
      <x:c r="Y9" s="82" t="n">
        <x:f>Y7*'3_Giả định'!$B$18</x:f>
        <x:v>29021382.551102236</x:v>
      </x:c>
      <x:c r="Z9" s="82" t="n">
        <x:f>Z7*'3_Giả định'!$B$18</x:f>
        <x:v>31637853.800560717</x:v>
      </x:c>
    </x:row>
    <x:row r="10" ht="15" customHeight="1">
      <x:c r="A10" s="53" t="s">
        <x:v>79</x:v>
      </x:c>
      <x:c r="C10" s="82" t="n">
        <x:f t="shared" ref="C10" si="0">C8-C9</x:f>
        <x:v>2817499.40472</x:v>
      </x:c>
      <x:c r="D10" s="82" t="n">
        <x:f>D8-D9</x:f>
        <x:v>5775873.779676</x:v>
      </x:c>
      <x:c r="E10" s="82" t="n">
        <x:f>E8-E9</x:f>
        <x:v>8888928.871951127</x:v>
      </x:c>
      <x:c r="F10" s="82" t="n">
        <x:f>F8-F9</x:f>
        <x:v>12171498.815911233</x:v>
      </x:c>
      <x:c r="G10" s="82" t="n">
        <x:f>G8-G9</x:f>
        <x:v>15639530.686362028</x:v>
      </x:c>
      <x:c r="H10" s="82" t="n">
        <x:f>H8-H9</x:f>
        <x:v>19310175.747493554</x:v>
      </x:c>
      <x:c r="I10" s="82" t="n">
        <x:f>I8-I9</x:f>
        <x:v>23201887.935328923</x:v>
      </x:c>
      <x:c r="J10" s="82" t="n">
        <x:f>J8-J9</x:f>
        <x:v>27334530.154350042</x:v>
      </x:c>
      <x:c r="K10" s="82" t="n">
        <x:f>K8-K9</x:f>
        <x:v>31729489.01536701</x:v>
      </x:c>
      <x:c r="L10" s="82" t="n">
        <x:f>L8-L9</x:f>
        <x:v>36409798.69180526</x:v>
      </x:c>
      <x:c r="M10" s="82" t="n">
        <x:f>M8-M9</x:f>
        <x:v>41400274.62570231</x:v>
      </x:c>
      <x:c r="N10" s="82" t="n">
        <x:f>N8-N9</x:f>
        <x:v>46727657.87315454</x:v>
      </x:c>
      <x:c r="O10" s="82" t="n">
        <x:f>O8-O9</x:f>
        <x:v>52420770.94208107</x:v>
      </x:c>
      <x:c r="P10" s="82" t="n">
        <x:f>P8-P9</x:f>
        <x:v>58510686.043349504</x:v>
      </x:c>
      <x:c r="Q10" s="82" t="n">
        <x:f>Q8-Q9</x:f>
        <x:v>65030906.74994234</x:v>
      </x:c>
      <x:c r="R10" s="82" t="n">
        <x:f>R8-R9</x:f>
        <x:v>72017564.13836887</x:v>
      </x:c>
      <x:c r="S10" s="82" t="n">
        <x:f>S8-S9</x:f>
        <x:v>79509628.57241659</x:v>
      </x:c>
      <x:c r="T10" s="82" t="n">
        <x:f>T8-T9</x:f>
        <x:v>87549138.38209878</x:v>
      </x:c>
      <x:c r="U10" s="82" t="n">
        <x:f>U8-U9</x:f>
        <x:v>96181446.79083887</x:v>
      </x:c>
      <x:c r="V10" s="82" t="n">
        <x:f>V8-V9</x:f>
        <x:v>105455488.55213302</x:v>
      </x:c>
      <x:c r="W10" s="82" t="n">
        <x:f>W8-W9</x:f>
        <x:v>115424067.87378988</x:v>
      </x:c>
      <x:c r="X10" s="82" t="n">
        <x:f>X8-X9</x:f>
        <x:v>126144169.33405472</x:v>
      </x:c>
      <x:c r="Y10" s="82" t="n">
        <x:f>Y8-Y9</x:f>
        <x:v>137677293.6302299</x:v>
      </x:c>
      <x:c r="Z10" s="82" t="n">
        <x:f>Z8-Z9</x:f>
        <x:v>150089820.14761555</x:v>
      </x:c>
    </x:row>
    <x:row r="11" ht="15" customHeight="1">
      <x:c r="A11" s="53" t="s">
        <x:v>338</x:v>
      </x:c>
      <x:c r="C11" s="82" t="n">
        <x:f>C6*'3_Giả định'!$B$10</x:f>
        <x:v>3253536</x:v>
      </x:c>
      <x:c r="D11" s="82" t="n">
        <x:f>D6*'3_Giả định'!$B$10</x:f>
        <x:v>3513818.8800000004</x:v>
      </x:c>
      <x:c r="E11" s="82" t="n">
        <x:f>E6*'3_Giả định'!$B$10</x:f>
        <x:v>3794924.3904000004</x:v>
      </x:c>
      <x:c r="F11" s="82" t="n">
        <x:f>F6*'3_Giả định'!$B$10</x:f>
        <x:v>4098518.341632</x:v>
      </x:c>
      <x:c r="G11" s="82" t="n">
        <x:f>G6*'3_Giả định'!$B$10</x:f>
        <x:v>4426399.808962561</x:v>
      </x:c>
      <x:c r="H11" s="82" t="n">
        <x:f>H6*'3_Giả định'!$B$10</x:f>
        <x:v>4780511.793679567</x:v>
      </x:c>
      <x:c r="I11" s="82" t="n">
        <x:f>I6*'3_Giả định'!$B$10</x:f>
        <x:v>5162952.737173932</x:v>
      </x:c>
      <x:c r="J11" s="82" t="n">
        <x:f>J6*'3_Giả định'!$B$10</x:f>
        <x:v>5575988.956147848</x:v>
      </x:c>
      <x:c r="K11" s="82" t="n">
        <x:f>K6*'3_Giả định'!$B$10</x:f>
        <x:v>6022068.072639675</x:v>
      </x:c>
      <x:c r="L11" s="82" t="n">
        <x:f>L6*'3_Giả định'!$B$10</x:f>
        <x:v>6503833.51845085</x:v>
      </x:c>
      <x:c r="M11" s="82" t="n">
        <x:f>M6*'3_Giả định'!$B$10</x:f>
        <x:v>7024140.199926918</x:v>
      </x:c>
      <x:c r="N11" s="82" t="n">
        <x:f>N6*'3_Giả định'!$B$10</x:f>
        <x:v>7586071.415921072</x:v>
      </x:c>
      <x:c r="O11" s="82" t="n">
        <x:f>O6*'3_Giả định'!$B$10</x:f>
        <x:v>8192957.129194757</x:v>
      </x:c>
      <x:c r="P11" s="82" t="n">
        <x:f>P6*'3_Giả định'!$B$10</x:f>
        <x:v>8848393.699530339</x:v>
      </x:c>
      <x:c r="Q11" s="82" t="n">
        <x:f>Q6*'3_Giả định'!$B$10</x:f>
        <x:v>9556265.195492767</x:v>
      </x:c>
      <x:c r="R11" s="82" t="n">
        <x:f>R6*'3_Giả định'!$B$10</x:f>
        <x:v>10320766.41113219</x:v>
      </x:c>
      <x:c r="S11" s="82" t="n">
        <x:f>S6*'3_Giả định'!$B$10</x:f>
        <x:v>11146427.724022765</x:v>
      </x:c>
      <x:c r="T11" s="82" t="n">
        <x:f>T6*'3_Giả định'!$B$10</x:f>
        <x:v>12038141.941944588</x:v>
      </x:c>
      <x:c r="U11" s="82" t="n">
        <x:f>U6*'3_Giả định'!$B$10</x:f>
        <x:v>13001193.297300154</x:v>
      </x:c>
      <x:c r="V11" s="82" t="n">
        <x:f>V6*'3_Giả định'!$B$10</x:f>
        <x:v>14041288.761084167</x:v>
      </x:c>
      <x:c r="W11" s="82" t="n">
        <x:f>W6*'3_Giả định'!$B$10</x:f>
        <x:v>15164591.861970901</x:v>
      </x:c>
      <x:c r="X11" s="82" t="n">
        <x:f>X6*'3_Giả định'!$B$10</x:f>
        <x:v>16377759.210928576</x:v>
      </x:c>
      <x:c r="Y11" s="82" t="n">
        <x:f>Y6*'3_Giả định'!$B$10</x:f>
        <x:v>17687979.947802864</x:v>
      </x:c>
      <x:c r="Z11" s="82" t="n">
        <x:f>Z6*'3_Giả định'!$B$10</x:f>
        <x:v>19103018.34362709</x:v>
      </x:c>
    </x:row>
    <x:row r="12" ht="15" customHeight="1">
      <x:c r="A12" s="53" t="s">
        <x:v>339</x:v>
      </x:c>
      <x:c r="C12" s="82" t="n">
        <x:f>'3_Giả định'!$B$11</x:f>
        <x:v>12000000</x:v>
      </x:c>
      <x:c r="D12" s="82" t="n">
        <x:f>'3_Giả định'!$B$11</x:f>
        <x:v>12000000</x:v>
      </x:c>
      <x:c r="E12" s="82" t="n">
        <x:f>'3_Giả định'!$B$11</x:f>
        <x:v>12000000</x:v>
      </x:c>
      <x:c r="F12" s="82" t="n">
        <x:f>'3_Giả định'!$B$11</x:f>
        <x:v>12000000</x:v>
      </x:c>
      <x:c r="G12" s="82" t="n">
        <x:f>'3_Giả định'!$B$11</x:f>
        <x:v>12000000</x:v>
      </x:c>
      <x:c r="H12" s="82" t="n">
        <x:f>'3_Giả định'!$B$11</x:f>
        <x:v>12000000</x:v>
      </x:c>
      <x:c r="I12" s="82" t="n">
        <x:f>'3_Giả định'!$B$11</x:f>
        <x:v>12000000</x:v>
      </x:c>
      <x:c r="J12" s="82" t="n">
        <x:f>'3_Giả định'!$B$11</x:f>
        <x:v>12000000</x:v>
      </x:c>
      <x:c r="K12" s="82" t="n">
        <x:f>'3_Giả định'!$B$11</x:f>
        <x:v>12000000</x:v>
      </x:c>
      <x:c r="L12" s="82" t="n">
        <x:f>'3_Giả định'!$B$11</x:f>
        <x:v>12000000</x:v>
      </x:c>
      <x:c r="M12" s="82" t="n">
        <x:f>'3_Giả định'!$B$11</x:f>
        <x:v>12000000</x:v>
      </x:c>
      <x:c r="N12" s="82" t="n">
        <x:f>'3_Giả định'!$B$11</x:f>
        <x:v>12000000</x:v>
      </x:c>
      <x:c r="O12" s="82" t="n">
        <x:f>'3_Giả định'!$B$11</x:f>
        <x:v>12000000</x:v>
      </x:c>
      <x:c r="P12" s="82" t="n">
        <x:f>'3_Giả định'!$B$11</x:f>
        <x:v>12000000</x:v>
      </x:c>
      <x:c r="Q12" s="82" t="n">
        <x:f>'3_Giả định'!$B$11</x:f>
        <x:v>12000000</x:v>
      </x:c>
      <x:c r="R12" s="82" t="n">
        <x:f>'3_Giả định'!$B$11</x:f>
        <x:v>12000000</x:v>
      </x:c>
      <x:c r="S12" s="82" t="n">
        <x:f>'3_Giả định'!$B$11</x:f>
        <x:v>12000000</x:v>
      </x:c>
      <x:c r="T12" s="82" t="n">
        <x:f>'3_Giả định'!$B$11</x:f>
        <x:v>12000000</x:v>
      </x:c>
      <x:c r="U12" s="82" t="n">
        <x:f>'3_Giả định'!$B$11</x:f>
        <x:v>12000000</x:v>
      </x:c>
      <x:c r="V12" s="82" t="n">
        <x:f>'3_Giả định'!$B$11</x:f>
        <x:v>12000000</x:v>
      </x:c>
      <x:c r="W12" s="82" t="n">
        <x:f>'3_Giả định'!$B$11</x:f>
        <x:v>12000000</x:v>
      </x:c>
      <x:c r="X12" s="82" t="n">
        <x:f>'3_Giả định'!$B$11</x:f>
        <x:v>12000000</x:v>
      </x:c>
      <x:c r="Y12" s="82" t="n">
        <x:f>'3_Giả định'!$B$11</x:f>
        <x:v>12000000</x:v>
      </x:c>
      <x:c r="Z12" s="82" t="n">
        <x:f>'3_Giả định'!$B$11</x:f>
        <x:v>12000000</x:v>
      </x:c>
    </x:row>
    <x:row r="13" ht="15" customHeight="1">
      <x:c r="A13" s="53" t="s">
        <x:v>340</x:v>
      </x:c>
      <x:c r="B13" s="82" t="n">
        <x:f>-'3_Giả định'!$B$12</x:f>
        <x:v>-40000000</x:v>
      </x:c>
      <x:c r="C13" s="82" t="n">
        <x:f t="shared" ref="C13" si="1">C10-C11-C12</x:f>
        <x:v>-12436036.59528</x:v>
      </x:c>
      <x:c r="D13" s="82" t="n">
        <x:f>D10-D11-D12</x:f>
        <x:v>-9737945.100324001</x:v>
      </x:c>
      <x:c r="E13" s="82" t="n">
        <x:f>E10-E11-E12</x:f>
        <x:v>-6905995.5184488725</x:v>
      </x:c>
      <x:c r="F13" s="82" t="n">
        <x:f>F10-F11-F12</x:f>
        <x:v>-3927019.5257207667</x:v>
      </x:c>
      <x:c r="G13" s="82" t="n">
        <x:f>G10-G11-G12</x:f>
        <x:v>-786869.1226005331</x:v>
      </x:c>
      <x:c r="H13" s="82" t="n">
        <x:f>H10-H11-H12</x:f>
        <x:v>2529663.953813987</x:v>
      </x:c>
      <x:c r="I13" s="82" t="n">
        <x:f>I10-I11-I12</x:f>
        <x:v>6038935.198154993</x:v>
      </x:c>
      <x:c r="J13" s="82" t="n">
        <x:f>J10-J11-J12</x:f>
        <x:v>9758541.198202193</x:v>
      </x:c>
      <x:c r="K13" s="82" t="n">
        <x:f>K10-K11-K12</x:f>
        <x:v>13707420.942727335</x:v>
      </x:c>
      <x:c r="L13" s="82" t="n">
        <x:f>L10-L11-L12</x:f>
        <x:v>17905965.17335441</x:v>
      </x:c>
      <x:c r="M13" s="82" t="n">
        <x:f>M10-M11-M12</x:f>
        <x:v>22376134.425775386</x:v>
      </x:c>
      <x:c r="N13" s="82" t="n">
        <x:f>N10-N11-N12</x:f>
        <x:v>27141586.457233474</x:v>
      </x:c>
      <x:c r="O13" s="82" t="n">
        <x:f>O10-O11-O12</x:f>
        <x:v>32227813.812886313</x:v>
      </x:c>
      <x:c r="P13" s="82" t="n">
        <x:f>P10-P11-P12</x:f>
        <x:v>37662292.343819164</x:v>
      </x:c>
      <x:c r="Q13" s="82" t="n">
        <x:f>Q10-Q11-Q12</x:f>
        <x:v>43474641.55444957</x:v>
      </x:c>
      <x:c r="R13" s="82" t="n">
        <x:f>R10-R11-R12</x:f>
        <x:v>49696797.72723669</x:v>
      </x:c>
      <x:c r="S13" s="82" t="n">
        <x:f>S10-S11-S12</x:f>
        <x:v>56363200.84839383</x:v>
      </x:c>
      <x:c r="T13" s="82" t="n">
        <x:f>T10-T11-T12</x:f>
        <x:v>63510996.440154195</x:v>
      </x:c>
      <x:c r="U13" s="82" t="n">
        <x:f>U10-U11-U12</x:f>
        <x:v>71180253.49353871</x:v>
      </x:c>
      <x:c r="V13" s="82" t="n">
        <x:f>V10-V11-V12</x:f>
        <x:v>79414199.79104885</x:v>
      </x:c>
      <x:c r="W13" s="82" t="n">
        <x:f>W10-W11-W12</x:f>
        <x:v>88259476.01181898</x:v>
      </x:c>
      <x:c r="X13" s="82" t="n">
        <x:f>X10-X11-X12</x:f>
        <x:v>97766410.12312615</x:v>
      </x:c>
      <x:c r="Y13" s="82" t="n">
        <x:f>Y10-Y11-Y12</x:f>
        <x:v>107989313.68242702</x:v>
      </x:c>
      <x:c r="Z13" s="82" t="n">
        <x:f>Z10-Z11-Z12</x:f>
        <x:v>118986801.80398846</x:v>
      </x:c>
    </x:row>
    <x:row r="14" ht="15" customHeight="1">
      <x:c r="A14" s="53" t="s">
        <x:v>341</x:v>
      </x:c>
      <x:c r="B14" s="82" t="n">
        <x:f>'3_Giả định'!$B$13+B13</x:f>
        <x:v>80000000</x:v>
      </x:c>
      <x:c r="C14" s="82" t="n">
        <x:f t="shared" ref="C14" si="2">B14+C13</x:f>
        <x:v>67563963.40472001</x:v>
      </x:c>
      <x:c r="D14" s="82" t="n">
        <x:f>C14+D13</x:f>
        <x:v>57826018.304396</x:v>
      </x:c>
      <x:c r="E14" s="82" t="n">
        <x:f>D14+E13</x:f>
        <x:v>50920022.78594713</x:v>
      </x:c>
      <x:c r="F14" s="82" t="n">
        <x:f>E14+F13</x:f>
        <x:v>46993003.26022636</x:v>
      </x:c>
      <x:c r="G14" s="82" t="n">
        <x:f>F14+G13</x:f>
        <x:v>46206134.13762583</x:v>
      </x:c>
      <x:c r="H14" s="82" t="n">
        <x:f>G14+H13</x:f>
        <x:v>48735798.09143981</x:v>
      </x:c>
      <x:c r="I14" s="82" t="n">
        <x:f>H14+I13</x:f>
        <x:v>54774733.28959481</x:v>
      </x:c>
      <x:c r="J14" s="82" t="n">
        <x:f>I14+J13</x:f>
        <x:v>64533274.487797</x:v>
      </x:c>
      <x:c r="K14" s="82" t="n">
        <x:f>J14+K13</x:f>
        <x:v>78240695.43052433</x:v>
      </x:c>
      <x:c r="L14" s="82" t="n">
        <x:f>K14+L13</x:f>
        <x:v>96146660.60387874</x:v>
      </x:c>
      <x:c r="M14" s="82" t="n">
        <x:f>L14+M13</x:f>
        <x:v>118522795.02965412</x:v>
      </x:c>
      <x:c r="N14" s="82" t="n">
        <x:f>M14+N13</x:f>
        <x:v>145664381.48688757</x:v>
      </x:c>
      <x:c r="O14" s="82" t="n">
        <x:f>N14+O13</x:f>
        <x:v>177892195.29977387</x:v>
      </x:c>
      <x:c r="P14" s="82" t="n">
        <x:f>O14+P13</x:f>
        <x:v>215554487.64359304</x:v>
      </x:c>
      <x:c r="Q14" s="82" t="n">
        <x:f>P14+Q13</x:f>
        <x:v>259029129.19804263</x:v>
      </x:c>
      <x:c r="R14" s="82" t="n">
        <x:f>Q14+R13</x:f>
        <x:v>308725926.9252793</x:v>
      </x:c>
      <x:c r="S14" s="82" t="n">
        <x:f>R14+S13</x:f>
        <x:v>365089127.7736732</x:v>
      </x:c>
      <x:c r="T14" s="82" t="n">
        <x:f>S14+T13</x:f>
        <x:v>428600124.2138274</x:v>
      </x:c>
      <x:c r="U14" s="82" t="n">
        <x:f>T14+U13</x:f>
        <x:v>499780377.7073661</x:v>
      </x:c>
      <x:c r="V14" s="82" t="n">
        <x:f>U14+V13</x:f>
        <x:v>579194577.498415</x:v>
      </x:c>
      <x:c r="W14" s="82" t="n">
        <x:f>V14+W13</x:f>
        <x:v>667454053.510234</x:v>
      </x:c>
      <x:c r="X14" s="82" t="n">
        <x:f>W14+X13</x:f>
        <x:v>765220463.6333601</x:v>
      </x:c>
      <x:c r="Y14" s="82" t="n">
        <x:f>X14+Y13</x:f>
        <x:v>873209777.3157872</x:v>
      </x:c>
      <x:c r="Z14" s="82" t="n">
        <x:f>Y14+Z13</x:f>
        <x:v>992196579.1197757</x:v>
      </x:c>
    </x:row>
    <x:row r="15" ht="15" customHeight="1">
      <x:c r="A15" s="53" t="s">
        <x:v>342</x:v>
      </x:c>
      <x:c r="B15" s="82" t="n">
        <x:f>B13</x:f>
        <x:v>-40000000</x:v>
      </x:c>
      <x:c r="C15" s="82" t="n">
        <x:f t="shared" ref="C15" si="3">B15+C13</x:f>
        <x:v>-52436036.59528</x:v>
      </x:c>
      <x:c r="D15" s="82" t="n">
        <x:f>C15+D13</x:f>
        <x:v>-62173981.695604</x:v>
      </x:c>
      <x:c r="E15" s="82" t="n">
        <x:f>D15+E13</x:f>
        <x:v>-69079977.21405287</x:v>
      </x:c>
      <x:c r="F15" s="82" t="n">
        <x:f>E15+F13</x:f>
        <x:v>-73006996.73977363</x:v>
      </x:c>
      <x:c r="G15" s="82" t="n">
        <x:f>F15+G13</x:f>
        <x:v>-73793865.86237416</x:v>
      </x:c>
      <x:c r="H15" s="82" t="n">
        <x:f>G15+H13</x:f>
        <x:v>-71264201.90856017</x:v>
      </x:c>
      <x:c r="I15" s="82" t="n">
        <x:f>H15+I13</x:f>
        <x:v>-65225266.71040518</x:v>
      </x:c>
      <x:c r="J15" s="82" t="n">
        <x:f>I15+J13</x:f>
        <x:v>-55466725.512202986</x:v>
      </x:c>
      <x:c r="K15" s="82" t="n">
        <x:f>J15+K13</x:f>
        <x:v>-41759304.56947565</x:v>
      </x:c>
      <x:c r="L15" s="82" t="n">
        <x:f>K15+L13</x:f>
        <x:v>-23853339.39612124</x:v>
      </x:c>
      <x:c r="M15" s="82" t="n">
        <x:f>L15+M13</x:f>
        <x:v>-1477204.9703458548</x:v>
      </x:c>
      <x:c r="N15" s="82" t="n">
        <x:f>M15+N13</x:f>
        <x:v>25664381.48688762</x:v>
      </x:c>
      <x:c r="O15" s="82" t="n">
        <x:f>N15+O13</x:f>
        <x:v>57892195.29977393</x:v>
      </x:c>
      <x:c r="P15" s="82" t="n">
        <x:f>O15+P13</x:f>
        <x:v>95554487.6435931</x:v>
      </x:c>
      <x:c r="Q15" s="82" t="n">
        <x:f>P15+Q13</x:f>
        <x:v>139029129.1980427</x:v>
      </x:c>
      <x:c r="R15" s="82" t="n">
        <x:f>Q15+R13</x:f>
        <x:v>188725926.92527938</x:v>
      </x:c>
      <x:c r="S15" s="82" t="n">
        <x:f>R15+S13</x:f>
        <x:v>245089127.7736732</x:v>
      </x:c>
      <x:c r="T15" s="82" t="n">
        <x:f>S15+T13</x:f>
        <x:v>308600124.2138274</x:v>
      </x:c>
      <x:c r="U15" s="82" t="n">
        <x:f>T15+U13</x:f>
        <x:v>379780377.7073661</x:v>
      </x:c>
      <x:c r="V15" s="82" t="n">
        <x:f>U15+V13</x:f>
        <x:v>459194577.498415</x:v>
      </x:c>
      <x:c r="W15" s="82" t="n">
        <x:f>V15+W13</x:f>
        <x:v>547454053.510234</x:v>
      </x:c>
      <x:c r="X15" s="82" t="n">
        <x:f>W15+X13</x:f>
        <x:v>645220463.6333601</x:v>
      </x:c>
      <x:c r="Y15" s="82" t="n">
        <x:f>X15+Y13</x:f>
        <x:v>753209777.3157872</x:v>
      </x:c>
      <x:c r="Z15" s="82" t="n">
        <x:f>Y15+Z13</x:f>
        <x:v>872196579.1197757</x:v>
      </x:c>
    </x:row>
    <x:row r="17" ht="15" customHeight="1">
      <x:c r="A17" s="80" t="s">
        <x:v>343</x:v>
      </x:c>
    </x:row>
    <x:row r="18" ht="15" customHeight="1">
      <x:c r="A18" s="53" t="s">
        <x:v>335</x:v>
      </x:c>
      <x:c r="C18" s="81" t="n">
        <x:f>'3_Giả định'!$C$7*(1+'3_Giả định'!$C$8)^0</x:f>
        <x:v>10</x:v>
      </x:c>
      <x:c r="D18" s="81" t="n">
        <x:f>'3_Giả định'!$C$7*(1+'3_Giả định'!$C$8)^1</x:f>
        <x:v>10.5</x:v>
      </x:c>
      <x:c r="E18" s="81" t="n">
        <x:f>'3_Giả định'!$C$7*(1+'3_Giả định'!$C$8)^2</x:f>
        <x:v>11.025</x:v>
      </x:c>
      <x:c r="F18" s="81" t="n">
        <x:f>'3_Giả định'!$C$7*(1+'3_Giả định'!$C$8)^3</x:f>
        <x:v>11.576250000000002</x:v>
      </x:c>
      <x:c r="G18" s="81" t="n">
        <x:f>'3_Giả định'!$C$7*(1+'3_Giả định'!$C$8)^4</x:f>
        <x:v>12.155062500000003</x:v>
      </x:c>
      <x:c r="H18" s="81" t="n">
        <x:f>'3_Giả định'!$C$7*(1+'3_Giả định'!$C$8)^5</x:f>
        <x:v>12.762815625000004</x:v>
      </x:c>
      <x:c r="I18" s="81" t="n">
        <x:f>'3_Giả định'!$C$7*(1+'3_Giả định'!$C$8)^6</x:f>
        <x:v>13.400956406250003</x:v>
      </x:c>
      <x:c r="J18" s="81" t="n">
        <x:f>'3_Giả định'!$C$7*(1+'3_Giả định'!$C$8)^7</x:f>
        <x:v>14.071004226562504</x:v>
      </x:c>
      <x:c r="K18" s="81" t="n">
        <x:f>'3_Giả định'!$C$7*(1+'3_Giả định'!$C$8)^8</x:f>
        <x:v>14.77455443789063</x:v>
      </x:c>
      <x:c r="L18" s="81" t="n">
        <x:f>'3_Giả định'!$C$7*(1+'3_Giả định'!$C$8)^9</x:f>
        <x:v>15.513282159785163</x:v>
      </x:c>
      <x:c r="M18" s="81" t="n">
        <x:f>'3_Giả định'!$C$7*(1+'3_Giả định'!$C$8)^10</x:f>
        <x:v>16.28894626777442</x:v>
      </x:c>
      <x:c r="N18" s="81" t="n">
        <x:f>'3_Giả định'!$C$7*(1+'3_Giả định'!$C$8)^11</x:f>
        <x:v>17.103393581163143</x:v>
      </x:c>
      <x:c r="O18" s="81" t="n">
        <x:f>'3_Giả định'!$C$7*(1+'3_Giả định'!$C$8)^12</x:f>
        <x:v>17.9585632602213</x:v>
      </x:c>
      <x:c r="P18" s="81" t="n">
        <x:f>'3_Giả định'!$C$7*(1+'3_Giả định'!$C$8)^13</x:f>
        <x:v>18.856491423232367</x:v>
      </x:c>
      <x:c r="Q18" s="81" t="n">
        <x:f>'3_Giả định'!$C$7*(1+'3_Giả định'!$C$8)^14</x:f>
        <x:v>19.799315994393986</x:v>
      </x:c>
      <x:c r="R18" s="81" t="n">
        <x:f>'3_Giả định'!$C$7*(1+'3_Giả định'!$C$8)^15</x:f>
        <x:v>20.789281794113688</x:v>
      </x:c>
      <x:c r="S18" s="81" t="n">
        <x:f>'3_Giả định'!$C$7*(1+'3_Giả định'!$C$8)^16</x:f>
        <x:v>21.82874588381937</x:v>
      </x:c>
      <x:c r="T18" s="81" t="n">
        <x:f>'3_Giả định'!$C$7*(1+'3_Giả định'!$C$8)^17</x:f>
        <x:v>22.92018317801034</x:v>
      </x:c>
      <x:c r="U18" s="81" t="n">
        <x:f>'3_Giả định'!$C$7*(1+'3_Giả định'!$C$8)^18</x:f>
        <x:v>24.066192336910856</x:v>
      </x:c>
      <x:c r="V18" s="81" t="n">
        <x:f>'3_Giả định'!$C$7*(1+'3_Giả định'!$C$8)^19</x:f>
        <x:v>25.269501953756404</x:v>
      </x:c>
      <x:c r="W18" s="81" t="n">
        <x:f>'3_Giả định'!$C$7*(1+'3_Giả định'!$C$8)^20</x:f>
        <x:v>26.53297705144422</x:v>
      </x:c>
      <x:c r="X18" s="81" t="n">
        <x:f>'3_Giả định'!$C$7*(1+'3_Giả định'!$C$8)^21</x:f>
        <x:v>27.859625904016436</x:v>
      </x:c>
      <x:c r="Y18" s="81" t="n">
        <x:f>'3_Giả định'!$C$7*(1+'3_Giả định'!$C$8)^22</x:f>
        <x:v>29.25260719921726</x:v>
      </x:c>
      <x:c r="Z18" s="81" t="n">
        <x:f>'3_Giả định'!$C$7*(1+'3_Giả định'!$C$8)^23</x:f>
        <x:v>30.715237559178124</x:v>
      </x:c>
    </x:row>
    <x:row r="19" ht="15" customHeight="1">
      <x:c r="A19" s="53" t="s">
        <x:v>336</x:v>
      </x:c>
      <x:c r="B19">
        <x:v>0</x:v>
      </x:c>
      <x:c r="C19" s="81" t="n">
        <x:f>B19*(1-'3_Giả định'!$C$9)+C18</x:f>
        <x:v>10</x:v>
      </x:c>
      <x:c r="D19" s="81" t="n">
        <x:f>C19*(1-'3_Giả định'!$C$9)+D18</x:f>
        <x:v>20</x:v>
      </x:c>
      <x:c r="E19" s="81" t="n">
        <x:f>D19*(1-'3_Giả định'!$C$9)+E18</x:f>
        <x:v>30.025</x:v>
      </x:c>
      <x:c r="F19" s="81" t="n">
        <x:f>E19*(1-'3_Giả định'!$C$9)+F18</x:f>
        <x:v>40.099999999999994</x:v>
      </x:c>
      <x:c r="G19" s="81" t="n">
        <x:f>F19*(1-'3_Giả định'!$C$9)+G18</x:f>
        <x:v>50.2500625</x:v>
      </x:c>
      <x:c r="H19" s="81" t="n">
        <x:f>G19*(1-'3_Giả định'!$C$9)+H18</x:f>
        <x:v>60.500375</x:v>
      </x:c>
      <x:c r="I19" s="81" t="n">
        <x:f>H19*(1-'3_Giả định'!$C$9)+I18</x:f>
        <x:v>70.87631265625001</x:v>
      </x:c>
      <x:c r="J19" s="81" t="n">
        <x:f>I19*(1-'3_Giả định'!$C$9)+J18</x:f>
        <x:v>81.40350125</x:v>
      </x:c>
      <x:c r="K19" s="81" t="n">
        <x:f>J19*(1-'3_Giả định'!$C$9)+K18</x:f>
        <x:v>92.10788062539064</x:v>
      </x:c>
      <x:c r="L19" s="81" t="n">
        <x:f>K19*(1-'3_Giả định'!$C$9)+L18</x:f>
        <x:v>103.01576875390626</x:v>
      </x:c>
      <x:c r="M19" s="81" t="n">
        <x:f>L19*(1-'3_Giả định'!$C$9)+M18</x:f>
        <x:v>114.15392658398537</x:v>
      </x:c>
      <x:c r="N19" s="81" t="n">
        <x:f>M19*(1-'3_Giả định'!$C$9)+N18</x:f>
        <x:v>125.54962383594923</x:v>
      </x:c>
      <x:c r="O19" s="81" t="n">
        <x:f>N19*(1-'3_Giả định'!$C$9)+O18</x:f>
        <x:v>137.23070590437308</x:v>
      </x:c>
      <x:c r="P19" s="81" t="n">
        <x:f>O19*(1-'3_Giả định'!$C$9)+P18</x:f>
        <x:v>149.2256620323868</x:v>
      </x:c>
      <x:c r="Q19" s="81" t="n">
        <x:f>P19*(1-'3_Giả định'!$C$9)+Q18</x:f>
        <x:v>161.56369492516143</x:v>
      </x:c>
      <x:c r="R19" s="81" t="n">
        <x:f>Q19*(1-'3_Giả định'!$C$9)+R18</x:f>
        <x:v>174.27479197301705</x:v>
      </x:c>
      <x:c r="S19" s="81" t="n">
        <x:f>R19*(1-'3_Giả định'!$C$9)+S18</x:f>
        <x:v>187.38979825818558</x:v>
      </x:c>
      <x:c r="T19" s="81" t="n">
        <x:f>S19*(1-'3_Giả định'!$C$9)+T18</x:f>
        <x:v>200.94049152328665</x:v>
      </x:c>
      <x:c r="U19" s="81" t="n">
        <x:f>T19*(1-'3_Giả định'!$C$9)+U18</x:f>
        <x:v>214.95965928403317</x:v>
      </x:c>
      <x:c r="V19" s="81" t="n">
        <x:f>U19*(1-'3_Giả định'!$C$9)+V18</x:f>
        <x:v>229.4811782735879</x:v>
      </x:c>
      <x:c r="W19" s="81" t="n">
        <x:f>V19*(1-'3_Giả định'!$C$9)+W18</x:f>
        <x:v>244.5400964113527</x:v>
      </x:c>
      <x:c r="X19" s="81" t="n">
        <x:f>W19*(1-'3_Giả định'!$C$9)+X18</x:f>
        <x:v>260.1727174948015</x:v>
      </x:c>
      <x:c r="Y19" s="81" t="n">
        <x:f>X19*(1-'3_Giả định'!$C$9)+Y18</x:f>
        <x:v>276.41668881927865</x:v>
      </x:c>
      <x:c r="Z19" s="81" t="n">
        <x:f>Y19*(1-'3_Giả định'!$C$9)+Z18</x:f>
        <x:v>293.31109193749285</x:v>
      </x:c>
    </x:row>
    <x:row r="20" ht="15" customHeight="1">
      <x:c r="A20" s="53" t="s">
        <x:v>77</x:v>
      </x:c>
      <x:c r="C20" s="82" t="n">
        <x:f>C19*'3_Giả định'!$C$17</x:f>
        <x:v>2385600</x:v>
      </x:c>
      <x:c r="D20" s="82" t="n">
        <x:f>D19*'3_Giả định'!$C$17</x:f>
        <x:v>4771200</x:v>
      </x:c>
      <x:c r="E20" s="82" t="n">
        <x:f>E19*'3_Giả định'!$C$17</x:f>
        <x:v>7162764</x:v>
      </x:c>
      <x:c r="F20" s="82" t="n">
        <x:f>F19*'3_Giả định'!$C$17</x:f>
        <x:v>9566255.999999998</x:v>
      </x:c>
      <x:c r="G20" s="82" t="n">
        <x:f>G19*'3_Giả định'!$C$17</x:f>
        <x:v>11987654.91</x:v>
      </x:c>
      <x:c r="H20" s="82" t="n">
        <x:f>H19*'3_Giả định'!$C$17</x:f>
        <x:v>14432969.459999999</x:v>
      </x:c>
      <x:c r="I20" s="82" t="n">
        <x:f>I19*'3_Giả định'!$C$17</x:f>
        <x:v>16908253.147275</x:v>
      </x:c>
      <x:c r="J20" s="82" t="n">
        <x:f>J19*'3_Giả định'!$C$17</x:f>
        <x:v>19419619.2582</x:v>
      </x:c>
      <x:c r="K20" s="82" t="n">
        <x:f>K19*'3_Giả định'!$C$17</x:f>
        <x:v>21973256.00199319</x:v>
      </x:c>
      <x:c r="L20" s="82" t="n">
        <x:f>L19*'3_Giả định'!$C$17</x:f>
        <x:v>24575441.793931875</x:v>
      </x:c>
      <x:c r="M20" s="82" t="n">
        <x:f>M19*'3_Giả định'!$C$17</x:f>
        <x:v>27232560.72587555</x:v>
      </x:c>
      <x:c r="N20" s="82" t="n">
        <x:f>N19*'3_Giả định'!$C$17</x:f>
        <x:v>29951118.26230405</x:v>
      </x:c>
      <x:c r="O20" s="82" t="n">
        <x:f>O19*'3_Giả định'!$C$17</x:f>
        <x:v>32737757.20054724</x:v>
      </x:c>
      <x:c r="P20" s="82" t="n">
        <x:f>P19*'3_Giả định'!$C$17</x:f>
        <x:v>35599273.93444619</x:v>
      </x:c>
      <x:c r="Q20" s="82" t="n">
        <x:f>Q19*'3_Giả định'!$C$17</x:f>
        <x:v>38542635.06134651</x:v>
      </x:c>
      <x:c r="R20" s="82" t="n">
        <x:f>R19*'3_Giả định'!$C$17</x:f>
        <x:v>41574994.37308294</x:v>
      </x:c>
      <x:c r="S20" s="82" t="n">
        <x:f>S19*'3_Giả định'!$C$17</x:f>
        <x:v>44703710.272472754</x:v>
      </x:c>
      <x:c r="T20" s="82" t="n">
        <x:f>T19*'3_Giả định'!$C$17</x:f>
        <x:v>47936363.657795265</x:v>
      </x:c>
      <x:c r="U20" s="82" t="n">
        <x:f>U19*'3_Giả định'!$C$17</x:f>
        <x:v>51280776.31879895</x:v>
      </x:c>
      <x:c r="V20" s="82" t="n">
        <x:f>V19*'3_Giả định'!$C$17</x:f>
        <x:v>54745029.88894713</x:v>
      </x:c>
      <x:c r="W20" s="82" t="n">
        <x:f>W19*'3_Giả định'!$C$17</x:f>
        <x:v>58337485.3998923</x:v>
      </x:c>
      <x:c r="X20" s="82" t="n">
        <x:f>X19*'3_Giả định'!$C$17</x:f>
        <x:v>62066803.48555984</x:v>
      </x:c>
      <x:c r="Y20" s="82" t="n">
        <x:f>Y19*'3_Giả định'!$C$17</x:f>
        <x:v>65941965.28472711</x:v>
      </x:c>
      <x:c r="Z20" s="82" t="n">
        <x:f>Z19*'3_Giả định'!$C$17</x:f>
        <x:v>69972294.09260829</x:v>
      </x:c>
    </x:row>
    <x:row r="21" ht="15" customHeight="1">
      <x:c r="A21" s="53" t="s">
        <x:v>337</x:v>
      </x:c>
      <x:c r="C21" s="82" t="n">
        <x:f>C19*'3_Giả định'!$C$18</x:f>
        <x:v>507614.184</x:v>
      </x:c>
      <x:c r="D21" s="82" t="n">
        <x:f>D19*'3_Giả định'!$C$18</x:f>
        <x:v>1015228.368</x:v>
      </x:c>
      <x:c r="E21" s="82" t="n">
        <x:f>E19*'3_Giả định'!$C$18</x:f>
        <x:v>1524111.58746</x:v>
      </x:c>
      <x:c r="F21" s="82" t="n">
        <x:f>F19*'3_Giả định'!$C$18</x:f>
        <x:v>2035532.8778399997</x:v>
      </x:c>
      <x:c r="G21" s="82" t="n">
        <x:f>G19*'3_Giả định'!$C$18</x:f>
        <x:v>2550764.4471886503</x:v>
      </x:c>
      <x:c r="H21" s="82" t="n">
        <x:f>H19*'3_Giả định'!$C$18</x:f>
        <x:v>3071084.8487319</x:v>
      </x:c>
      <x:c r="I21" s="82" t="n">
        <x:f>I19*'3_Giả định'!$C$18</x:f>
        <x:v>3597782.1613931223</x:v>
      </x:c>
      <x:c r="J21" s="82" t="n">
        <x:f>J19*'3_Giả định'!$C$18</x:f>
        <x:v>4132157.1861761734</x:v>
      </x:c>
      <x:c r="K21" s="82" t="n">
        <x:f>K19*'3_Giả định'!$C$18</x:f>
        <x:v>4675526.6663627075</x:v>
      </x:c>
      <x:c r="L21" s="82" t="n">
        <x:f>L19*'3_Giả định'!$C$18</x:f>
        <x:v>5229226.539514682</x:v>
      </x:c>
      <x:c r="M21" s="82" t="n">
        <x:f>M19*'3_Giả định'!$C$18</x:f>
        <x:v>5794615.229332564</x:v>
      </x:c>
      <x:c r="N21" s="82" t="n">
        <x:f>N19*'3_Giả định'!$C$18</x:f>
        <x:v>6373076.985499232</x:v>
      </x:c>
      <x:c r="O21" s="82" t="n">
        <x:f>O19*'3_Giả định'!$C$18</x:f>
        <x:v>6966025.279739233</x:v>
      </x:c>
      <x:c r="P21" s="82" t="n">
        <x:f>P19*'3_Giả định'!$C$18</x:f>
        <x:v>7574906.266442981</x:v>
      </x:c>
      <x:c r="Q21" s="82" t="n">
        <x:f>Q19*'3_Giả định'!$C$18</x:f>
        <x:v>8201202.316346076</x:v>
      </x:c>
      <x:c r="R21" s="82" t="n">
        <x:f>R19*'3_Giả định'!$C$18</x:f>
        <x:v>8846435.63191528</x:v>
      </x:c>
      <x:c r="S21" s="82" t="n">
        <x:f>S19*'3_Giả định'!$C$18</x:f>
        <x:v>9512171.953275349</x:v>
      </x:c>
      <x:c r="T21" s="82" t="n">
        <x:f>T19*'3_Giả định'!$C$18</x:f>
        <x:v>10200024.363715207</x:v>
      </x:c>
      <x:c r="U21" s="82" t="n">
        <x:f>U19*'3_Giả định'!$C$18</x:f>
        <x:v>10911657.204038253</x:v>
      </x:c>
      <x:c r="V21" s="82" t="n">
        <x:f>V19*'3_Giả định'!$C$18</x:f>
        <x:v>11648790.105270585</x:v>
      </x:c>
      <x:c r="W21" s="82" t="n">
        <x:f>W19*'3_Giả định'!$C$18</x:f>
        <x:v>12413202.149513014</x:v>
      </x:c>
      <x:c r="X21" s="82" t="n">
        <x:f>X19*'3_Giả định'!$C$18</x:f>
        <x:v>13206736.169018619</x:v>
      </x:c>
      <x:c r="Y21" s="82" t="n">
        <x:f>Y19*'3_Giả định'!$C$18</x:f>
        <x:v>14031303.193898005</x:v>
      </x:c>
      <x:c r="Z21" s="82" t="n">
        <x:f>Z19*'3_Giả định'!$C$18</x:f>
        <x:v>14888887.059199942</x:v>
      </x:c>
    </x:row>
    <x:row r="22" ht="15" customHeight="1">
      <x:c r="A22" s="53" t="s">
        <x:v>79</x:v>
      </x:c>
      <x:c r="C22" s="82" t="n">
        <x:f t="shared" ref="C22" si="4">C20-C21</x:f>
        <x:v>1877985.816</x:v>
      </x:c>
      <x:c r="D22" s="82" t="n">
        <x:f>D20-D21</x:f>
        <x:v>3755971.632</x:v>
      </x:c>
      <x:c r="E22" s="82" t="n">
        <x:f>E20-E21</x:f>
        <x:v>5638652.41254</x:v>
      </x:c>
      <x:c r="F22" s="82" t="n">
        <x:f>F20-F21</x:f>
        <x:v>7530723.122159999</x:v>
      </x:c>
      <x:c r="G22" s="82" t="n">
        <x:f>G20-G21</x:f>
        <x:v>9436890.46281135</x:v>
      </x:c>
      <x:c r="H22" s="82" t="n">
        <x:f>H20-H21</x:f>
        <x:v>11361884.6112681</x:v>
      </x:c>
      <x:c r="I22" s="82" t="n">
        <x:f>I20-I21</x:f>
        <x:v>13310470.985881878</x:v>
      </x:c>
      <x:c r="J22" s="82" t="n">
        <x:f>J20-J21</x:f>
        <x:v>15287462.072023828</x:v>
      </x:c>
      <x:c r="K22" s="82" t="n">
        <x:f>K20-K21</x:f>
        <x:v>17297729.335630484</x:v>
      </x:c>
      <x:c r="L22" s="82" t="n">
        <x:f>L20-L21</x:f>
        <x:v>19346215.254417192</x:v>
      </x:c>
      <x:c r="M22" s="82" t="n">
        <x:f>M20-M21</x:f>
        <x:v>21437945.496542983</x:v>
      </x:c>
      <x:c r="N22" s="82" t="n">
        <x:f>N20-N21</x:f>
        <x:v>23578041.276804816</x:v>
      </x:c>
      <x:c r="O22" s="82" t="n">
        <x:f>O20-O21</x:f>
        <x:v>25771731.92080801</x:v>
      </x:c>
      <x:c r="P22" s="82" t="n">
        <x:f>P20-P21</x:f>
        <x:v>28024367.668003213</x:v>
      </x:c>
      <x:c r="Q22" s="82" t="n">
        <x:f>Q20-Q21</x:f>
        <x:v>30341432.745000433</x:v>
      </x:c>
      <x:c r="R22" s="82" t="n">
        <x:f>R20-R21</x:f>
        <x:v>32728558.741167665</x:v>
      </x:c>
      <x:c r="S22" s="82" t="n">
        <x:f>S20-S21</x:f>
        <x:v>35191538.3191974</x:v>
      </x:c>
      <x:c r="T22" s="82" t="n">
        <x:f>T20-T21</x:f>
        <x:v>37736339.294080056</x:v>
      </x:c>
      <x:c r="U22" s="82" t="n">
        <x:f>U20-U21</x:f>
        <x:v>40369119.1147607</x:v>
      </x:c>
      <x:c r="V22" s="82" t="n">
        <x:f>V20-V21</x:f>
        <x:v>43096239.78367654</x:v>
      </x:c>
      <x:c r="W22" s="82" t="n">
        <x:f>W20-W21</x:f>
        <x:v>45924283.25037929</x:v>
      </x:c>
      <x:c r="X22" s="82" t="n">
        <x:f>X20-X21</x:f>
        <x:v>48860067.316541225</x:v>
      </x:c>
      <x:c r="Y22" s="82" t="n">
        <x:f>Y20-Y21</x:f>
        <x:v>51910662.090829104</x:v>
      </x:c>
      <x:c r="Z22" s="82" t="n">
        <x:f>Z20-Z21</x:f>
        <x:v>55083407.033408344</x:v>
      </x:c>
    </x:row>
    <x:row r="23" ht="15" customHeight="1">
      <x:c r="A23" s="53" t="s">
        <x:v>338</x:v>
      </x:c>
      <x:c r="C23" s="82" t="n">
        <x:f>C18*'3_Giả định'!$C$10</x:f>
        <x:v>3128400</x:v>
      </x:c>
      <x:c r="D23" s="82" t="n">
        <x:f>D18*'3_Giả định'!$C$10</x:f>
        <x:v>3284820</x:v>
      </x:c>
      <x:c r="E23" s="82" t="n">
        <x:f>E18*'3_Giả định'!$C$10</x:f>
        <x:v>3449061</x:v>
      </x:c>
      <x:c r="F23" s="82" t="n">
        <x:f>F18*'3_Giả định'!$C$10</x:f>
        <x:v>3621514.0500000007</x:v>
      </x:c>
      <x:c r="G23" s="82" t="n">
        <x:f>G18*'3_Giả định'!$C$10</x:f>
        <x:v>3802589.752500001</x:v>
      </x:c>
      <x:c r="H23" s="82" t="n">
        <x:f>H18*'3_Giả định'!$C$10</x:f>
        <x:v>3992719.240125001</x:v>
      </x:c>
      <x:c r="I23" s="82" t="n">
        <x:f>I18*'3_Giả định'!$C$10</x:f>
        <x:v>4192355.202131251</x:v>
      </x:c>
      <x:c r="J23" s="82" t="n">
        <x:f>J18*'3_Giả định'!$C$10</x:f>
        <x:v>4401972.9622378135</x:v>
      </x:c>
      <x:c r="K23" s="82" t="n">
        <x:f>K18*'3_Giả định'!$C$10</x:f>
        <x:v>4622071.6103497045</x:v>
      </x:c>
      <x:c r="L23" s="82" t="n">
        <x:f>L18*'3_Giả định'!$C$10</x:f>
        <x:v>4853175.19086719</x:v>
      </x:c>
      <x:c r="M23" s="82" t="n">
        <x:f>M18*'3_Giả định'!$C$10</x:f>
        <x:v>5095833.9504105495</x:v>
      </x:c>
      <x:c r="N23" s="82" t="n">
        <x:f>N18*'3_Giả định'!$C$10</x:f>
        <x:v>5350625.6479310775</x:v>
      </x:c>
      <x:c r="O23" s="82" t="n">
        <x:f>O18*'3_Giả định'!$C$10</x:f>
        <x:v>5618156.9303276315</x:v>
      </x:c>
      <x:c r="P23" s="82" t="n">
        <x:f>P18*'3_Giả định'!$C$10</x:f>
        <x:v>5899064.7768440135</x:v>
      </x:c>
      <x:c r="Q23" s="82" t="n">
        <x:f>Q18*'3_Giả định'!$C$10</x:f>
        <x:v>6194018.015686215</x:v>
      </x:c>
      <x:c r="R23" s="82" t="n">
        <x:f>R18*'3_Giả định'!$C$10</x:f>
        <x:v>6503718.916470526</x:v>
      </x:c>
      <x:c r="S23" s="82" t="n">
        <x:f>S18*'3_Giả định'!$C$10</x:f>
        <x:v>6828904.862294052</x:v>
      </x:c>
      <x:c r="T23" s="82" t="n">
        <x:f>T18*'3_Giả định'!$C$10</x:f>
        <x:v>7170350.105408755</x:v>
      </x:c>
      <x:c r="U23" s="82" t="n">
        <x:f>U18*'3_Giả định'!$C$10</x:f>
        <x:v>7528867.6106791925</x:v>
      </x:c>
      <x:c r="V23" s="82" t="n">
        <x:f>V18*'3_Giả định'!$C$10</x:f>
        <x:v>7905310.991213153</x:v>
      </x:c>
      <x:c r="W23" s="82" t="n">
        <x:f>W18*'3_Giả định'!$C$10</x:f>
        <x:v>8300576.54077381</x:v>
      </x:c>
      <x:c r="X23" s="82" t="n">
        <x:f>X18*'3_Giả định'!$C$10</x:f>
        <x:v>8715605.367812501</x:v>
      </x:c>
      <x:c r="Y23" s="82" t="n">
        <x:f>Y18*'3_Giả định'!$C$10</x:f>
        <x:v>9151385.636203127</x:v>
      </x:c>
      <x:c r="Z23" s="82" t="n">
        <x:f>Z18*'3_Giả định'!$C$10</x:f>
        <x:v>9608954.918013284</x:v>
      </x:c>
    </x:row>
    <x:row r="24" ht="15" customHeight="1">
      <x:c r="A24" s="53" t="s">
        <x:v>339</x:v>
      </x:c>
      <x:c r="C24" s="82" t="n">
        <x:f>'3_Giả định'!$C$11</x:f>
        <x:v>15000000</x:v>
      </x:c>
      <x:c r="D24" s="82" t="n">
        <x:f>'3_Giả định'!$C$11</x:f>
        <x:v>15000000</x:v>
      </x:c>
      <x:c r="E24" s="82" t="n">
        <x:f>'3_Giả định'!$C$11</x:f>
        <x:v>15000000</x:v>
      </x:c>
      <x:c r="F24" s="82" t="n">
        <x:f>'3_Giả định'!$C$11</x:f>
        <x:v>15000000</x:v>
      </x:c>
      <x:c r="G24" s="82" t="n">
        <x:f>'3_Giả định'!$C$11</x:f>
        <x:v>15000000</x:v>
      </x:c>
      <x:c r="H24" s="82" t="n">
        <x:f>'3_Giả định'!$C$11</x:f>
        <x:v>15000000</x:v>
      </x:c>
      <x:c r="I24" s="82" t="n">
        <x:f>'3_Giả định'!$C$11</x:f>
        <x:v>15000000</x:v>
      </x:c>
      <x:c r="J24" s="82" t="n">
        <x:f>'3_Giả định'!$C$11</x:f>
        <x:v>15000000</x:v>
      </x:c>
      <x:c r="K24" s="82" t="n">
        <x:f>'3_Giả định'!$C$11</x:f>
        <x:v>15000000</x:v>
      </x:c>
      <x:c r="L24" s="82" t="n">
        <x:f>'3_Giả định'!$C$11</x:f>
        <x:v>15000000</x:v>
      </x:c>
      <x:c r="M24" s="82" t="n">
        <x:f>'3_Giả định'!$C$11</x:f>
        <x:v>15000000</x:v>
      </x:c>
      <x:c r="N24" s="82" t="n">
        <x:f>'3_Giả định'!$C$11</x:f>
        <x:v>15000000</x:v>
      </x:c>
      <x:c r="O24" s="82" t="n">
        <x:f>'3_Giả định'!$C$11</x:f>
        <x:v>15000000</x:v>
      </x:c>
      <x:c r="P24" s="82" t="n">
        <x:f>'3_Giả định'!$C$11</x:f>
        <x:v>15000000</x:v>
      </x:c>
      <x:c r="Q24" s="82" t="n">
        <x:f>'3_Giả định'!$C$11</x:f>
        <x:v>15000000</x:v>
      </x:c>
      <x:c r="R24" s="82" t="n">
        <x:f>'3_Giả định'!$C$11</x:f>
        <x:v>15000000</x:v>
      </x:c>
      <x:c r="S24" s="82" t="n">
        <x:f>'3_Giả định'!$C$11</x:f>
        <x:v>15000000</x:v>
      </x:c>
      <x:c r="T24" s="82" t="n">
        <x:f>'3_Giả định'!$C$11</x:f>
        <x:v>15000000</x:v>
      </x:c>
      <x:c r="U24" s="82" t="n">
        <x:f>'3_Giả định'!$C$11</x:f>
        <x:v>15000000</x:v>
      </x:c>
      <x:c r="V24" s="82" t="n">
        <x:f>'3_Giả định'!$C$11</x:f>
        <x:v>15000000</x:v>
      </x:c>
      <x:c r="W24" s="82" t="n">
        <x:f>'3_Giả định'!$C$11</x:f>
        <x:v>15000000</x:v>
      </x:c>
      <x:c r="X24" s="82" t="n">
        <x:f>'3_Giả định'!$C$11</x:f>
        <x:v>15000000</x:v>
      </x:c>
      <x:c r="Y24" s="82" t="n">
        <x:f>'3_Giả định'!$C$11</x:f>
        <x:v>15000000</x:v>
      </x:c>
      <x:c r="Z24" s="82" t="n">
        <x:f>'3_Giả định'!$C$11</x:f>
        <x:v>15000000</x:v>
      </x:c>
    </x:row>
    <x:row r="25" ht="15" customHeight="1">
      <x:c r="A25" s="53" t="s">
        <x:v>340</x:v>
      </x:c>
      <x:c r="B25" s="82" t="n">
        <x:f>-'3_Giả định'!$C$12</x:f>
        <x:v>-52140000</x:v>
      </x:c>
      <x:c r="C25" s="82" t="n">
        <x:f t="shared" ref="C25" si="5">C22-C23-C24</x:f>
        <x:v>-16250414.184</x:v>
      </x:c>
      <x:c r="D25" s="82" t="n">
        <x:f>D22-D23-D24</x:f>
        <x:v>-14528848.368</x:v>
      </x:c>
      <x:c r="E25" s="82" t="n">
        <x:f>E22-E23-E24</x:f>
        <x:v>-12810408.58746</x:v>
      </x:c>
      <x:c r="F25" s="82" t="n">
        <x:f>F22-F23-F24</x:f>
        <x:v>-11090790.927840002</x:v>
      </x:c>
      <x:c r="G25" s="82" t="n">
        <x:f>G22-G23-G24</x:f>
        <x:v>-9365699.28968865</x:v>
      </x:c>
      <x:c r="H25" s="82" t="n">
        <x:f>H22-H23-H24</x:f>
        <x:v>-7630834.628856901</x:v>
      </x:c>
      <x:c r="I25" s="82" t="n">
        <x:f>I22-I23-I24</x:f>
        <x:v>-5881884.216249373</x:v>
      </x:c>
      <x:c r="J25" s="82" t="n">
        <x:f>J22-J23-J24</x:f>
        <x:v>-4114510.890213985</x:v>
      </x:c>
      <x:c r="K25" s="82" t="n">
        <x:f>K22-K23-K24</x:f>
        <x:v>-2324342.2747192197</x:v>
      </x:c>
      <x:c r="L25" s="82" t="n">
        <x:f>L22-L23-L24</x:f>
        <x:v>-506959.9364499971</x:v>
      </x:c>
      <x:c r="M25" s="82" t="n">
        <x:f>M22-M23-M24</x:f>
        <x:v>1342111.5461324342</x:v>
      </x:c>
      <x:c r="N25" s="82" t="n">
        <x:f>N22-N23-N24</x:f>
        <x:v>3227415.6288737394</x:v>
      </x:c>
      <x:c r="O25" s="82" t="n">
        <x:f>O22-O23-O24</x:f>
        <x:v>5153574.990480378</x:v>
      </x:c>
      <x:c r="P25" s="82" t="n">
        <x:f>P22-P23-P24</x:f>
        <x:v>7125302.891159199</x:v>
      </x:c>
      <x:c r="Q25" s="82" t="n">
        <x:f>Q22-Q23-Q24</x:f>
        <x:v>9147414.72931422</x:v>
      </x:c>
      <x:c r="R25" s="82" t="n">
        <x:f>R22-R23-R24</x:f>
        <x:v>11224839.824697137</x:v>
      </x:c>
      <x:c r="S25" s="82" t="n">
        <x:f>S22-S23-S24</x:f>
        <x:v>13362633.45690335</x:v>
      </x:c>
      <x:c r="T25" s="82" t="n">
        <x:f>T22-T23-T24</x:f>
        <x:v>15565989.188671302</x:v>
      </x:c>
      <x:c r="U25" s="82" t="n">
        <x:f>U22-U23-U24</x:f>
        <x:v>17840251.504081503</x:v>
      </x:c>
      <x:c r="V25" s="82" t="n">
        <x:f>V22-V23-V24</x:f>
        <x:v>20190928.792463392</x:v>
      </x:c>
      <x:c r="W25" s="82" t="n">
        <x:f>W22-W23-W24</x:f>
        <x:v>22623706.709605478</x:v>
      </x:c>
      <x:c r="X25" s="82" t="n">
        <x:f>X22-X23-X24</x:f>
        <x:v>25144461.948728725</x:v>
      </x:c>
      <x:c r="Y25" s="82" t="n">
        <x:f>Y22-Y23-Y24</x:f>
        <x:v>27759276.45462598</x:v>
      </x:c>
      <x:c r="Z25" s="82" t="n">
        <x:f>Z22-Z23-Z24</x:f>
        <x:v>30474452.11539506</x:v>
      </x:c>
    </x:row>
    <x:row r="26" ht="15" customHeight="1">
      <x:c r="A26" s="53" t="s">
        <x:v>341</x:v>
      </x:c>
      <x:c r="B26" s="82" t="n">
        <x:f>'3_Giả định'!$C$13+B25</x:f>
        <x:v>47860000</x:v>
      </x:c>
      <x:c r="C26" s="82" t="n">
        <x:f t="shared" ref="C26" si="6">B26+C25</x:f>
        <x:v>31609585.816</x:v>
      </x:c>
      <x:c r="D26" s="82" t="n">
        <x:f>C26+D25</x:f>
        <x:v>17080737.448</x:v>
      </x:c>
      <x:c r="E26" s="82" t="n">
        <x:f>D26+E25</x:f>
        <x:v>4270328.860539999</x:v>
      </x:c>
      <x:c r="F26" s="82" t="n">
        <x:f>E26+F25</x:f>
        <x:v>-6820462.067300003</x:v>
      </x:c>
      <x:c r="G26" s="82" t="n">
        <x:f>F26+G25</x:f>
        <x:v>-16186161.356988654</x:v>
      </x:c>
      <x:c r="H26" s="82" t="n">
        <x:f>G26+H25</x:f>
        <x:v>-23816995.985845555</x:v>
      </x:c>
      <x:c r="I26" s="82" t="n">
        <x:f>H26+I25</x:f>
        <x:v>-29698880.202094927</x:v>
      </x:c>
      <x:c r="J26" s="82" t="n">
        <x:f>I26+J25</x:f>
        <x:v>-33813391.09230891</x:v>
      </x:c>
      <x:c r="K26" s="82" t="n">
        <x:f>J26+K25</x:f>
        <x:v>-36137733.36702813</x:v>
      </x:c>
      <x:c r="L26" s="82" t="n">
        <x:f>K26+L25</x:f>
        <x:v>-36644693.30347813</x:v>
      </x:c>
      <x:c r="M26" s="82" t="n">
        <x:f>L26+M25</x:f>
        <x:v>-35302581.75734569</x:v>
      </x:c>
      <x:c r="N26" s="82" t="n">
        <x:f>M26+N25</x:f>
        <x:v>-32075166.128471952</x:v>
      </x:c>
      <x:c r="O26" s="82" t="n">
        <x:f>N26+O25</x:f>
        <x:v>-26921591.137991574</x:v>
      </x:c>
      <x:c r="P26" s="82" t="n">
        <x:f>O26+P25</x:f>
        <x:v>-19796288.246832374</x:v>
      </x:c>
      <x:c r="Q26" s="82" t="n">
        <x:f>P26+Q25</x:f>
        <x:v>-10648873.517518155</x:v>
      </x:c>
      <x:c r="R26" s="82" t="n">
        <x:f>Q26+R25</x:f>
        <x:v>575966.3071789816</x:v>
      </x:c>
      <x:c r="S26" s="82" t="n">
        <x:f>R26+S25</x:f>
        <x:v>13938599.764082331</x:v>
      </x:c>
      <x:c r="T26" s="82" t="n">
        <x:f>S26+T25</x:f>
        <x:v>29504588.952753633</x:v>
      </x:c>
      <x:c r="U26" s="82" t="n">
        <x:f>T26+U25</x:f>
        <x:v>47344840.456835136</x:v>
      </x:c>
      <x:c r="V26" s="82" t="n">
        <x:f>U26+V25</x:f>
        <x:v>67535769.24929853</x:v>
      </x:c>
      <x:c r="W26" s="82" t="n">
        <x:f>V26+W25</x:f>
        <x:v>90159475.958904</x:v>
      </x:c>
      <x:c r="X26" s="82" t="n">
        <x:f>W26+X25</x:f>
        <x:v>115303937.90763272</x:v>
      </x:c>
      <x:c r="Y26" s="82" t="n">
        <x:f>X26+Y25</x:f>
        <x:v>143063214.3622587</x:v>
      </x:c>
      <x:c r="Z26" s="82" t="n">
        <x:f>Y26+Z25</x:f>
        <x:v>173537666.47765377</x:v>
      </x:c>
    </x:row>
    <x:row r="27" ht="15" customHeight="1">
      <x:c r="A27" s="53" t="s">
        <x:v>342</x:v>
      </x:c>
      <x:c r="B27" s="82" t="n">
        <x:f>B25</x:f>
        <x:v>-52140000</x:v>
      </x:c>
      <x:c r="C27" s="82" t="n">
        <x:f t="shared" ref="C27" si="7">B27+C25</x:f>
        <x:v>-68390414.184</x:v>
      </x:c>
      <x:c r="D27" s="82" t="n">
        <x:f>C27+D25</x:f>
        <x:v>-82919262.552</x:v>
      </x:c>
      <x:c r="E27" s="82" t="n">
        <x:f>D27+E25</x:f>
        <x:v>-95729671.13946</x:v>
      </x:c>
      <x:c r="F27" s="82" t="n">
        <x:f>E27+F25</x:f>
        <x:v>-106820462.06729999</x:v>
      </x:c>
      <x:c r="G27" s="82" t="n">
        <x:f>F27+G25</x:f>
        <x:v>-116186161.35698864</x:v>
      </x:c>
      <x:c r="H27" s="82" t="n">
        <x:f>G27+H25</x:f>
        <x:v>-123816995.98584554</x:v>
      </x:c>
      <x:c r="I27" s="82" t="n">
        <x:f>H27+I25</x:f>
        <x:v>-129698880.20209491</x:v>
      </x:c>
      <x:c r="J27" s="82" t="n">
        <x:f>I27+J25</x:f>
        <x:v>-133813391.0923089</x:v>
      </x:c>
      <x:c r="K27" s="82" t="n">
        <x:f>J27+K25</x:f>
        <x:v>-136137733.36702812</x:v>
      </x:c>
      <x:c r="L27" s="82" t="n">
        <x:f>K27+L25</x:f>
        <x:v>-136644693.30347812</x:v>
      </x:c>
      <x:c r="M27" s="82" t="n">
        <x:f>L27+M25</x:f>
        <x:v>-135302581.75734568</x:v>
      </x:c>
      <x:c r="N27" s="82" t="n">
        <x:f>M27+N25</x:f>
        <x:v>-132075166.12847194</x:v>
      </x:c>
      <x:c r="O27" s="82" t="n">
        <x:f>N27+O25</x:f>
        <x:v>-126921591.13799156</x:v>
      </x:c>
      <x:c r="P27" s="82" t="n">
        <x:f>O27+P25</x:f>
        <x:v>-119796288.24683237</x:v>
      </x:c>
      <x:c r="Q27" s="82" t="n">
        <x:f>P27+Q25</x:f>
        <x:v>-110648873.51751815</x:v>
      </x:c>
      <x:c r="R27" s="82" t="n">
        <x:f>Q27+R25</x:f>
        <x:v>-99424033.69282101</x:v>
      </x:c>
      <x:c r="S27" s="82" t="n">
        <x:f>R27+S25</x:f>
        <x:v>-86061400.23591766</x:v>
      </x:c>
      <x:c r="T27" s="82" t="n">
        <x:f>S27+T25</x:f>
        <x:v>-70495411.04724635</x:v>
      </x:c>
      <x:c r="U27" s="82" t="n">
        <x:f>T27+U25</x:f>
        <x:v>-52655159.54316485</x:v>
      </x:c>
      <x:c r="V27" s="82" t="n">
        <x:f>U27+V25</x:f>
        <x:v>-32464230.750701457</x:v>
      </x:c>
      <x:c r="W27" s="82" t="n">
        <x:f>V27+W25</x:f>
        <x:v>-9840524.04109598</x:v>
      </x:c>
      <x:c r="X27" s="82" t="n">
        <x:f>W27+X25</x:f>
        <x:v>15303937.907632746</x:v>
      </x:c>
      <x:c r="Y27" s="82" t="n">
        <x:f>X27+Y25</x:f>
        <x:v>43063214.362258725</x:v>
      </x:c>
      <x:c r="Z27" s="82" t="n">
        <x:f>Y27+Z25</x:f>
        <x:v>73537666.47765379</x:v>
      </x:c>
    </x:row>
    <x:row r="29" ht="15" customHeight="1">
      <x:c r="A29" s="80" t="s">
        <x:v>344</x:v>
      </x:c>
    </x:row>
    <x:row r="30" ht="15" customHeight="1">
      <x:c r="A30" s="53" t="s">
        <x:v>335</x:v>
      </x:c>
      <x:c r="C30" s="81" t="n">
        <x:f>'3_Giả định'!$D$7*(1+'3_Giả định'!$D$8)^0</x:f>
        <x:v>5</x:v>
      </x:c>
      <x:c r="D30" s="81" t="n">
        <x:f>'3_Giả định'!$D$7*(1+'3_Giả định'!$D$8)^1</x:f>
        <x:v>5.1</x:v>
      </x:c>
      <x:c r="E30" s="81" t="n">
        <x:f>'3_Giả định'!$D$7*(1+'3_Giả định'!$D$8)^2</x:f>
        <x:v>5.202</x:v>
      </x:c>
      <x:c r="F30" s="81" t="n">
        <x:f>'3_Giả định'!$D$7*(1+'3_Giả định'!$D$8)^3</x:f>
        <x:v>5.306040000000001</x:v>
      </x:c>
      <x:c r="G30" s="81" t="n">
        <x:f>'3_Giả định'!$D$7*(1+'3_Giả định'!$D$8)^4</x:f>
        <x:v>5.4121608</x:v>
      </x:c>
      <x:c r="H30" s="81" t="n">
        <x:f>'3_Giả định'!$D$7*(1+'3_Giả định'!$D$8)^5</x:f>
        <x:v>5.5204040160000005</x:v>
      </x:c>
      <x:c r="I30" s="81" t="n">
        <x:f>'3_Giả định'!$D$7*(1+'3_Giả định'!$D$8)^6</x:f>
        <x:v>5.630812096320001</x:v>
      </x:c>
      <x:c r="J30" s="81" t="n">
        <x:f>'3_Giả định'!$D$7*(1+'3_Giả định'!$D$8)^7</x:f>
        <x:v>5.7434283382464</x:v>
      </x:c>
      <x:c r="K30" s="81" t="n">
        <x:f>'3_Giả định'!$D$7*(1+'3_Giả định'!$D$8)^8</x:f>
        <x:v>5.858296905011329</x:v>
      </x:c>
      <x:c r="L30" s="81" t="n">
        <x:f>'3_Giả định'!$D$7*(1+'3_Giả định'!$D$8)^9</x:f>
        <x:v>5.975462843111555</x:v>
      </x:c>
      <x:c r="M30" s="81" t="n">
        <x:f>'3_Giả định'!$D$7*(1+'3_Giả định'!$D$8)^10</x:f>
        <x:v>6.094972099973787</x:v>
      </x:c>
      <x:c r="N30" s="81" t="n">
        <x:f>'3_Giả định'!$D$7*(1+'3_Giả định'!$D$8)^11</x:f>
        <x:v>6.216871541973262</x:v>
      </x:c>
      <x:c r="O30" s="81" t="n">
        <x:f>'3_Giả định'!$D$7*(1+'3_Giả định'!$D$8)^12</x:f>
        <x:v>6.341208972812727</x:v>
      </x:c>
      <x:c r="P30" s="81" t="n">
        <x:f>'3_Giả định'!$D$7*(1+'3_Giả định'!$D$8)^13</x:f>
        <x:v>6.4680331522689825</x:v>
      </x:c>
      <x:c r="Q30" s="81" t="n">
        <x:f>'3_Giả định'!$D$7*(1+'3_Giả định'!$D$8)^14</x:f>
        <x:v>6.597393815314362</x:v>
      </x:c>
      <x:c r="R30" s="81" t="n">
        <x:f>'3_Giả định'!$D$7*(1+'3_Giả định'!$D$8)^15</x:f>
        <x:v>6.729341691620649</x:v>
      </x:c>
      <x:c r="S30" s="81" t="n">
        <x:f>'3_Giả định'!$D$7*(1+'3_Giả định'!$D$8)^16</x:f>
        <x:v>6.863928525453062</x:v>
      </x:c>
      <x:c r="T30" s="81" t="n">
        <x:f>'3_Giả định'!$D$7*(1+'3_Giả định'!$D$8)^17</x:f>
        <x:v>7.001207095962124</x:v>
      </x:c>
      <x:c r="U30" s="81" t="n">
        <x:f>'3_Giả định'!$D$7*(1+'3_Giả định'!$D$8)^18</x:f>
        <x:v>7.141231237881367</x:v>
      </x:c>
      <x:c r="V30" s="81" t="n">
        <x:f>'3_Giả định'!$D$7*(1+'3_Giả định'!$D$8)^19</x:f>
        <x:v>7.2840558626389935</x:v>
      </x:c>
      <x:c r="W30" s="81" t="n">
        <x:f>'3_Giả định'!$D$7*(1+'3_Giả định'!$D$8)^20</x:f>
        <x:v>7.429736979891775</x:v>
      </x:c>
      <x:c r="X30" s="81" t="n">
        <x:f>'3_Giả định'!$D$7*(1+'3_Giả định'!$D$8)^21</x:f>
        <x:v>7.57833171948961</x:v>
      </x:c>
      <x:c r="Y30" s="81" t="n">
        <x:f>'3_Giả định'!$D$7*(1+'3_Giả định'!$D$8)^22</x:f>
        <x:v>7.729898353879402</x:v>
      </x:c>
      <x:c r="Z30" s="81" t="n">
        <x:f>'3_Giả định'!$D$7*(1+'3_Giả định'!$D$8)^23</x:f>
        <x:v>7.884496320956991</x:v>
      </x:c>
    </x:row>
    <x:row r="31" ht="15" customHeight="1">
      <x:c r="A31" s="53" t="s">
        <x:v>336</x:v>
      </x:c>
      <x:c r="B31">
        <x:v>0</x:v>
      </x:c>
      <x:c r="C31" s="81" t="n">
        <x:f>B31*(1-'3_Giả định'!$D$9)+C30</x:f>
        <x:v>5</x:v>
      </x:c>
      <x:c r="D31" s="81" t="n">
        <x:f>C31*(1-'3_Giả định'!$D$9)+D30</x:f>
        <x:v>9.7</x:v>
      </x:c>
      <x:c r="E31" s="81" t="n">
        <x:f>D31*(1-'3_Giả định'!$D$9)+E30</x:f>
        <x:v>14.126</x:v>
      </x:c>
      <x:c r="F31" s="81" t="n">
        <x:f>E31*(1-'3_Giả định'!$D$9)+F30</x:f>
        <x:v>18.30196</x:v>
      </x:c>
      <x:c r="G31" s="81" t="n">
        <x:f>F31*(1-'3_Giả định'!$D$9)+G30</x:f>
        <x:v>22.249964000000002</x:v>
      </x:c>
      <x:c r="H31" s="81" t="n">
        <x:f>G31*(1-'3_Giả định'!$D$9)+H30</x:f>
        <x:v>25.990370896</x:v>
      </x:c>
      <x:c r="I31" s="81" t="n">
        <x:f>H31*(1-'3_Giả định'!$D$9)+I30</x:f>
        <x:v>29.54195332064</x:v>
      </x:c>
      <x:c r="J31" s="81" t="n">
        <x:f>I31*(1-'3_Giả định'!$D$9)+J30</x:f>
        <x:v>32.9220253932352</x:v>
      </x:c>
      <x:c r="K31" s="81" t="n">
        <x:f>J31*(1-'3_Giả định'!$D$9)+K30</x:f>
        <x:v>36.146560266787716</x:v>
      </x:c>
      <x:c r="L31" s="81" t="n">
        <x:f>K31*(1-'3_Giả định'!$D$9)+L30</x:f>
        <x:v>39.230298288556256</x:v>
      </x:c>
      <x:c r="M31" s="81" t="n">
        <x:f>L31*(1-'3_Giả định'!$D$9)+M30</x:f>
        <x:v>42.186846525445546</x:v>
      </x:c>
      <x:c r="N31" s="81" t="n">
        <x:f>M31*(1-'3_Giả định'!$D$9)+N30</x:f>
        <x:v>45.028770345383165</x:v>
      </x:c>
      <x:c r="O31" s="81" t="n">
        <x:f>N31*(1-'3_Giả định'!$D$9)+O30</x:f>
        <x:v>47.76767769056524</x:v>
      </x:c>
      <x:c r="P31" s="81" t="n">
        <x:f>O31*(1-'3_Giả định'!$D$9)+P30</x:f>
        <x:v>50.414296627589</x:v>
      </x:c>
      <x:c r="Q31" s="81" t="n">
        <x:f>P31*(1-'3_Giả định'!$D$9)+Q30</x:f>
        <x:v>52.97854671269625</x:v>
      </x:c>
      <x:c r="R31" s="81" t="n">
        <x:f>Q31*(1-'3_Giả định'!$D$9)+R30</x:f>
        <x:v>55.4696046673012</x:v>
      </x:c>
      <x:c r="S31" s="81" t="n">
        <x:f>R31*(1-'3_Giả định'!$D$9)+S30</x:f>
        <x:v>57.895964819370164</x:v>
      </x:c>
      <x:c r="T31" s="81" t="n">
        <x:f>S31*(1-'3_Giả định'!$D$9)+T30</x:f>
        <x:v>60.265494729782674</x:v>
      </x:c>
      <x:c r="U31" s="81" t="n">
        <x:f>T31*(1-'3_Giả định'!$D$9)+U30</x:f>
        <x:v>62.58548638928143</x:v>
      </x:c>
      <x:c r="V31" s="81" t="n">
        <x:f>U31*(1-'3_Giả định'!$D$9)+V30</x:f>
        <x:v>64.86270334077791</x:v>
      </x:c>
      <x:c r="W31" s="81" t="n">
        <x:f>V31*(1-'3_Giả định'!$D$9)+W30</x:f>
        <x:v>67.10342405340745</x:v>
      </x:c>
      <x:c r="X31" s="81" t="n">
        <x:f>W31*(1-'3_Giả định'!$D$9)+X30</x:f>
        <x:v>69.31348184862446</x:v>
      </x:c>
      <x:c r="Y31" s="81" t="n">
        <x:f>X31*(1-'3_Giả định'!$D$9)+Y30</x:f>
        <x:v>71.49830165461391</x:v>
      </x:c>
      <x:c r="Z31" s="81" t="n">
        <x:f>Y31*(1-'3_Giả định'!$D$9)+Z30</x:f>
        <x:v>73.66293384320178</x:v>
      </x:c>
    </x:row>
    <x:row r="32" ht="15" customHeight="1">
      <x:c r="A32" s="53" t="s">
        <x:v>77</x:v>
      </x:c>
      <x:c r="C32" s="82" t="n">
        <x:f>C31*'3_Giả định'!$D$17</x:f>
        <x:v>954240</x:v>
      </x:c>
      <x:c r="D32" s="82" t="n">
        <x:f>D31*'3_Giả định'!$D$17</x:f>
        <x:v>1851225.5999999999</x:v>
      </x:c>
      <x:c r="E32" s="82" t="n">
        <x:f>E31*'3_Giả định'!$D$17</x:f>
        <x:v>2695918.8479999998</x:v>
      </x:c>
      <x:c r="F32" s="82" t="n">
        <x:f>F31*'3_Giả định'!$D$17</x:f>
        <x:v>3492892.4620800004</x:v>
      </x:c>
      <x:c r="G32" s="82" t="n">
        <x:f>G31*'3_Giả định'!$D$17</x:f>
        <x:v>4246361.1294720005</x:v>
      </x:c>
      <x:c r="H32" s="82" t="n">
        <x:f>H31*'3_Giả định'!$D$17</x:f>
        <x:v>4960210.304759808</x:v>
      </x:c>
      <x:c r="I32" s="82" t="n">
        <x:f>I31*'3_Giả định'!$D$17</x:f>
        <x:v>5638022.707337503</x:v>
      </x:c>
      <x:c r="J32" s="82" t="n">
        <x:f>J31*'3_Giả định'!$D$17</x:f>
        <x:v>6283102.702248152</x:v>
      </x:c>
      <x:c r="K32" s="82" t="n">
        <x:f>K31*'3_Giả định'!$D$17</x:f>
        <x:v>6898498.733795902</x:v>
      </x:c>
      <x:c r="L32" s="82" t="n">
        <x:f>L31*'3_Giả định'!$D$17</x:f>
        <x:v>7487023.967774385</x:v>
      </x:c>
      <x:c r="M32" s="82" t="n">
        <x:f>M31*'3_Giả định'!$D$17</x:f>
        <x:v>8051275.285688232</x:v>
      </x:c>
      <x:c r="N32" s="82" t="n">
        <x:f>N31*'3_Giả định'!$D$17</x:f>
        <x:v>8593650.762875685</x:v>
      </x:c>
      <x:c r="O32" s="82" t="n">
        <x:f>O31*'3_Giả định'!$D$17</x:f>
        <x:v>9116365.751888996</x:v>
      </x:c>
      <x:c r="P32" s="82" t="n">
        <x:f>P31*'3_Giả định'!$D$17</x:f>
        <x:v>9621467.682782106</x:v>
      </x:c>
      <x:c r="Q32" s="82" t="n">
        <x:f>Q31*'3_Giả định'!$D$17</x:f>
        <x:v>10110849.683024654</x:v>
      </x:c>
      <x:c r="R32" s="82" t="n">
        <x:f>R31*'3_Giả định'!$D$17</x:f>
        <x:v>10586263.111545099</x:v>
      </x:c>
      <x:c r="S32" s="82" t="n">
        <x:f>S31*'3_Giả định'!$D$17</x:f>
        <x:v>11049329.093847157</x:v>
      </x:c>
      <x:c r="T32" s="82" t="n">
        <x:f>T31*'3_Giả định'!$D$17</x:f>
        <x:v>11501549.138189564</x:v>
      </x:c>
      <x:c r="U32" s="82" t="n">
        <x:f>U31*'3_Giả định'!$D$17</x:f>
        <x:v>11944314.906421581</x:v>
      </x:c>
      <x:c r="V32" s="82" t="n">
        <x:f>V31*'3_Giả định'!$D$17</x:f>
        <x:v>12378917.207180783</x:v>
      </x:c>
      <x:c r="W32" s="82" t="n">
        <x:f>W31*'3_Giả định'!$D$17</x:f>
        <x:v>12806554.273744706</x:v>
      </x:c>
      <x:c r="X32" s="82" t="n">
        <x:f>X31*'3_Giả định'!$D$17</x:f>
        <x:v>13228339.383846281</x:v>
      </x:c>
      <x:c r="Y32" s="82" t="n">
        <x:f>Y31*'3_Giả định'!$D$17</x:f>
        <x:v>13645307.874179756</x:v>
      </x:c>
      <x:c r="Z32" s="82" t="n">
        <x:f>Z31*'3_Giả định'!$D$17</x:f>
        <x:v>14058423.598107373</x:v>
      </x:c>
    </x:row>
    <x:row r="33" ht="15" customHeight="1">
      <x:c r="A33" s="53" t="s">
        <x:v>337</x:v>
      </x:c>
      <x:c r="C33" s="82" t="n">
        <x:f>C31*'3_Giả định'!$D$18</x:f>
        <x:v>304568.5104</x:v>
      </x:c>
      <x:c r="D33" s="82" t="n">
        <x:f>D31*'3_Giả định'!$D$18</x:f>
        <x:v>590862.910176</x:v>
      </x:c>
      <x:c r="E33" s="82" t="n">
        <x:f>E31*'3_Giả định'!$D$18</x:f>
        <x:v>860466.9555820801</x:v>
      </x:c>
      <x:c r="F33" s="82" t="n">
        <x:f>F31*'3_Giả định'!$D$18</x:f>
        <x:v>1114840.138920077</x:v>
      </x:c>
      <x:c r="G33" s="82" t="n">
        <x:f>G31*'3_Giả định'!$D$18</x:f>
        <x:v>1355327.6783867253</x:v>
      </x:c>
      <x:c r="H33" s="82" t="n">
        <x:f>H31*'3_Giả định'!$D$18</x:f>
        <x:v>1583169.7097076469</x:v>
      </x:c>
      <x:c r="I33" s="82" t="n">
        <x:f>I31*'3_Giả định'!$D$18</x:f>
        <x:v>1799509.7434347318</x:v>
      </x:c>
      <x:c r="J33" s="82" t="n">
        <x:f>J31*'3_Giả định'!$D$18</x:f>
        <x:v>2005402.446673724</x:v>
      </x:c>
      <x:c r="K33" s="82" t="n">
        <x:f>K31*'3_Giả định'!$D$18</x:f>
        <x:v>2201820.8033078723</x:v>
      </x:c>
      <x:c r="L33" s="82" t="n">
        <x:f>L31*'3_Giả định'!$D$18</x:f>
        <x:v>2389662.70245865</x:v>
      </x:c>
      <x:c r="M33" s="82" t="n">
        <x:f>M31*'3_Giả định'!$D$18</x:f>
        <x:v>2569757.0009456733</x:v>
      </x:c>
      <x:c r="N33" s="82" t="n">
        <x:f>N31*'3_Giả định'!$D$18</x:f>
        <x:v>2742869.101847409</x:v>
      </x:c>
      <x:c r="O33" s="82" t="n">
        <x:f>O31*'3_Giả định'!$D$18</x:f>
        <x:v>2909706.087896554</x:v>
      </x:c>
      <x:c r="P33" s="82" t="n">
        <x:f>P31*'3_Giả định'!$D$18</x:f>
        <x:v>3070921.4453457054</x:v>
      </x:c>
      <x:c r="Q33" s="82" t="n">
        <x:f>Q31*'3_Giả định'!$D$18</x:f>
        <x:v>3227119.411088543</x:v>
      </x:c>
      <x:c r="R33" s="82" t="n">
        <x:f>R31*'3_Giả định'!$D$18</x:f>
        <x:v>3378858.973199363</x:v>
      </x:c>
      <x:c r="S33" s="82" t="n">
        <x:f>S31*'3_Giả định'!$D$18</x:f>
        <x:v>3526657.5526412753</x:v>
      </x:c>
      <x:c r="T33" s="82" t="n">
        <x:f>T31*'3_Giả định'!$D$18</x:f>
        <x:v>3670994.391673792</x:v>
      </x:c>
      <x:c r="U33" s="82" t="n">
        <x:f>U31*'3_Giả định'!$D$18</x:f>
        <x:v>3812313.672448584</x:v>
      </x:c>
      <x:c r="V33" s="82" t="n">
        <x:f>V31*'3_Giả định'!$D$18</x:f>
        <x:v>3951027.387403567</x:v>
      </x:c>
      <x:c r="W33" s="82" t="n">
        <x:f>W31*'3_Giả định'!$D$18</x:f>
        <x:v>4087517.981337168</x:v>
      </x:c>
      <x:c r="X33" s="82" t="n">
        <x:f>X31*'3_Giả định'!$D$18</x:f>
        <x:v>4222140.783454598</x:v>
      </x:c>
      <x:c r="Y33" s="82" t="n">
        <x:f>Y31*'3_Giả định'!$D$18</x:f>
        <x:v>4355226.246215123</x:v>
      </x:c>
      <x:c r="Z33" s="82" t="n">
        <x:f>Z31*'3_Giả định'!$D$18</x:f>
        <x:v>4487082.0064635435</x:v>
      </x:c>
    </x:row>
    <x:row r="34" ht="15" customHeight="1">
      <x:c r="A34" s="53" t="s">
        <x:v>79</x:v>
      </x:c>
      <x:c r="C34" s="82" t="n">
        <x:f t="shared" ref="C34" si="8">C32-C33</x:f>
        <x:v>649671.4896</x:v>
      </x:c>
      <x:c r="D34" s="82" t="n">
        <x:f>D32-D33</x:f>
        <x:v>1260362.689824</x:v>
      </x:c>
      <x:c r="E34" s="82" t="n">
        <x:f>E32-E33</x:f>
        <x:v>1835451.8924179198</x:v>
      </x:c>
      <x:c r="F34" s="82" t="n">
        <x:f>F32-F33</x:f>
        <x:v>2378052.323159924</x:v>
      </x:c>
      <x:c r="G34" s="82" t="n">
        <x:f>G32-G33</x:f>
        <x:v>2891033.451085275</x:v>
      </x:c>
      <x:c r="H34" s="82" t="n">
        <x:f>H32-H33</x:f>
        <x:v>3377040.5950521613</x:v>
      </x:c>
      <x:c r="I34" s="82" t="n">
        <x:f>I32-I33</x:f>
        <x:v>3838512.9639027715</x:v>
      </x:c>
      <x:c r="J34" s="82" t="n">
        <x:f>J32-J33</x:f>
        <x:v>4277700.2555744285</x:v>
      </x:c>
      <x:c r="K34" s="82" t="n">
        <x:f>K32-K33</x:f>
        <x:v>4696677.9304880295</x:v>
      </x:c>
      <x:c r="L34" s="82" t="n">
        <x:f>L32-L33</x:f>
        <x:v>5097361.265315735</x:v>
      </x:c>
      <x:c r="M34" s="82" t="n">
        <x:f>M32-M33</x:f>
        <x:v>5481518.284742558</x:v>
      </x:c>
      <x:c r="N34" s="82" t="n">
        <x:f>N32-N33</x:f>
        <x:v>5850781.661028277</x:v>
      </x:c>
      <x:c r="O34" s="82" t="n">
        <x:f>O32-O33</x:f>
        <x:v>6206659.663992442</x:v>
      </x:c>
      <x:c r="P34" s="82" t="n">
        <x:f>P32-P33</x:f>
        <x:v>6550546.237436401</x:v>
      </x:c>
      <x:c r="Q34" s="82" t="n">
        <x:f>Q32-Q33</x:f>
        <x:v>6883730.271936111</x:v>
      </x:c>
      <x:c r="R34" s="82" t="n">
        <x:f>R32-R33</x:f>
        <x:v>7207404.138345736</x:v>
      </x:c>
      <x:c r="S34" s="82" t="n">
        <x:f>S32-S33</x:f>
        <x:v>7522671.541205882</x:v>
      </x:c>
      <x:c r="T34" s="82" t="n">
        <x:f>T32-T33</x:f>
        <x:v>7830554.746515771</x:v>
      </x:c>
      <x:c r="U34" s="82" t="n">
        <x:f>U32-U33</x:f>
        <x:v>8132001.233972997</x:v>
      </x:c>
      <x:c r="V34" s="82" t="n">
        <x:f>V32-V33</x:f>
        <x:v>8427889.819777217</x:v>
      </x:c>
      <x:c r="W34" s="82" t="n">
        <x:f>W32-W33</x:f>
        <x:v>8719036.292407539</x:v>
      </x:c>
      <x:c r="X34" s="82" t="n">
        <x:f>X32-X33</x:f>
        <x:v>9006198.600391682</x:v>
      </x:c>
      <x:c r="Y34" s="82" t="n">
        <x:f>Y32-Y33</x:f>
        <x:v>9290081.627964634</x:v>
      </x:c>
      <x:c r="Z34" s="82" t="n">
        <x:f>Z32-Z33</x:f>
        <x:v>9571341.591643829</x:v>
      </x:c>
    </x:row>
    <x:row r="35" ht="15" customHeight="1">
      <x:c r="A35" s="53" t="s">
        <x:v>338</x:v>
      </x:c>
      <x:c r="C35" s="82" t="n">
        <x:f>C30*'3_Giả định'!$D$10</x:f>
        <x:v>2346300</x:v>
      </x:c>
      <x:c r="D35" s="82" t="n">
        <x:f>D30*'3_Giả định'!$D$10</x:f>
        <x:v>2393226</x:v>
      </x:c>
      <x:c r="E35" s="82" t="n">
        <x:f>E30*'3_Giả định'!$D$10</x:f>
        <x:v>2441090.52</x:v>
      </x:c>
      <x:c r="F35" s="82" t="n">
        <x:f>F30*'3_Giả định'!$D$10</x:f>
        <x:v>2489912.330400001</x:v>
      </x:c>
      <x:c r="G35" s="82" t="n">
        <x:f>G30*'3_Giả định'!$D$10</x:f>
        <x:v>2539710.5770079996</x:v>
      </x:c>
      <x:c r="H35" s="82" t="n">
        <x:f>H30*'3_Giả định'!$D$10</x:f>
        <x:v>2590504.7885481603</x:v>
      </x:c>
      <x:c r="I35" s="82" t="n">
        <x:f>I30*'3_Giả định'!$D$10</x:f>
        <x:v>2642314.8843191233</x:v>
      </x:c>
      <x:c r="J35" s="82" t="n">
        <x:f>J30*'3_Giả định'!$D$10</x:f>
        <x:v>2695161.182005506</x:v>
      </x:c>
      <x:c r="K35" s="82" t="n">
        <x:f>K30*'3_Giả định'!$D$10</x:f>
        <x:v>2749064.4056456164</x:v>
      </x:c>
      <x:c r="L35" s="82" t="n">
        <x:f>L30*'3_Giả định'!$D$10</x:f>
        <x:v>2804045.693758528</x:v>
      </x:c>
      <x:c r="M35" s="82" t="n">
        <x:f>M30*'3_Giả định'!$D$10</x:f>
        <x:v>2860126.607633699</x:v>
      </x:c>
      <x:c r="N35" s="82" t="n">
        <x:f>N30*'3_Giả định'!$D$10</x:f>
        <x:v>2917329.139786373</x:v>
      </x:c>
      <x:c r="O35" s="82" t="n">
        <x:f>O30*'3_Giả định'!$D$10</x:f>
        <x:v>2975675.7225821004</x:v>
      </x:c>
      <x:c r="P35" s="82" t="n">
        <x:f>P30*'3_Giả định'!$D$10</x:f>
        <x:v>3035189.2370337425</x:v>
      </x:c>
      <x:c r="Q35" s="82" t="n">
        <x:f>Q30*'3_Giả định'!$D$10</x:f>
        <x:v>3095893.0217744177</x:v>
      </x:c>
      <x:c r="R35" s="82" t="n">
        <x:f>R30*'3_Giả định'!$D$10</x:f>
        <x:v>3157810.882209906</x:v>
      </x:c>
      <x:c r="S35" s="82" t="n">
        <x:f>S30*'3_Giả định'!$D$10</x:f>
        <x:v>3220967.0998541038</x:v>
      </x:c>
      <x:c r="T35" s="82" t="n">
        <x:f>T30*'3_Giả định'!$D$10</x:f>
        <x:v>3285386.4418511866</x:v>
      </x:c>
      <x:c r="U35" s="82" t="n">
        <x:f>U30*'3_Giả định'!$D$10</x:f>
        <x:v>3351094.1706882105</x:v>
      </x:c>
      <x:c r="V35" s="82" t="n">
        <x:f>V30*'3_Giả định'!$D$10</x:f>
        <x:v>3418116.0541019742</x:v>
      </x:c>
      <x:c r="W35" s="82" t="n">
        <x:f>W30*'3_Giả định'!$D$10</x:f>
        <x:v>3486478.3751840144</x:v>
      </x:c>
      <x:c r="X35" s="82" t="n">
        <x:f>X30*'3_Giả định'!$D$10</x:f>
        <x:v>3556207.942687694</x:v>
      </x:c>
      <x:c r="Y35" s="82" t="n">
        <x:f>Y30*'3_Giả định'!$D$10</x:f>
        <x:v>3627332.101541448</x:v>
      </x:c>
      <x:c r="Z35" s="82" t="n">
        <x:f>Z30*'3_Giả định'!$D$10</x:f>
        <x:v>3699878.7435722775</x:v>
      </x:c>
    </x:row>
    <x:row r="36" ht="15" customHeight="1">
      <x:c r="A36" s="53" t="s">
        <x:v>339</x:v>
      </x:c>
      <x:c r="C36" s="82" t="n">
        <x:f>'3_Giả định'!$D$11</x:f>
        <x:v>18000000</x:v>
      </x:c>
      <x:c r="D36" s="82" t="n">
        <x:f>'3_Giả định'!$D$11</x:f>
        <x:v>18000000</x:v>
      </x:c>
      <x:c r="E36" s="82" t="n">
        <x:f>'3_Giả định'!$D$11</x:f>
        <x:v>18000000</x:v>
      </x:c>
      <x:c r="F36" s="82" t="n">
        <x:f>'3_Giả định'!$D$11</x:f>
        <x:v>18000000</x:v>
      </x:c>
      <x:c r="G36" s="82" t="n">
        <x:f>'3_Giả định'!$D$11</x:f>
        <x:v>18000000</x:v>
      </x:c>
      <x:c r="H36" s="82" t="n">
        <x:f>'3_Giả định'!$D$11</x:f>
        <x:v>18000000</x:v>
      </x:c>
      <x:c r="I36" s="82" t="n">
        <x:f>'3_Giả định'!$D$11</x:f>
        <x:v>18000000</x:v>
      </x:c>
      <x:c r="J36" s="82" t="n">
        <x:f>'3_Giả định'!$D$11</x:f>
        <x:v>18000000</x:v>
      </x:c>
      <x:c r="K36" s="82" t="n">
        <x:f>'3_Giả định'!$D$11</x:f>
        <x:v>18000000</x:v>
      </x:c>
      <x:c r="L36" s="82" t="n">
        <x:f>'3_Giả định'!$D$11</x:f>
        <x:v>18000000</x:v>
      </x:c>
      <x:c r="M36" s="82" t="n">
        <x:f>'3_Giả định'!$D$11</x:f>
        <x:v>18000000</x:v>
      </x:c>
      <x:c r="N36" s="82" t="n">
        <x:f>'3_Giả định'!$D$11</x:f>
        <x:v>18000000</x:v>
      </x:c>
      <x:c r="O36" s="82" t="n">
        <x:f>'3_Giả định'!$D$11</x:f>
        <x:v>18000000</x:v>
      </x:c>
      <x:c r="P36" s="82" t="n">
        <x:f>'3_Giả định'!$D$11</x:f>
        <x:v>18000000</x:v>
      </x:c>
      <x:c r="Q36" s="82" t="n">
        <x:f>'3_Giả định'!$D$11</x:f>
        <x:v>18000000</x:v>
      </x:c>
      <x:c r="R36" s="82" t="n">
        <x:f>'3_Giả định'!$D$11</x:f>
        <x:v>18000000</x:v>
      </x:c>
      <x:c r="S36" s="82" t="n">
        <x:f>'3_Giả định'!$D$11</x:f>
        <x:v>18000000</x:v>
      </x:c>
      <x:c r="T36" s="82" t="n">
        <x:f>'3_Giả định'!$D$11</x:f>
        <x:v>18000000</x:v>
      </x:c>
      <x:c r="U36" s="82" t="n">
        <x:f>'3_Giả định'!$D$11</x:f>
        <x:v>18000000</x:v>
      </x:c>
      <x:c r="V36" s="82" t="n">
        <x:f>'3_Giả định'!$D$11</x:f>
        <x:v>18000000</x:v>
      </x:c>
      <x:c r="W36" s="82" t="n">
        <x:f>'3_Giả định'!$D$11</x:f>
        <x:v>18000000</x:v>
      </x:c>
      <x:c r="X36" s="82" t="n">
        <x:f>'3_Giả định'!$D$11</x:f>
        <x:v>18000000</x:v>
      </x:c>
      <x:c r="Y36" s="82" t="n">
        <x:f>'3_Giả định'!$D$11</x:f>
        <x:v>18000000</x:v>
      </x:c>
      <x:c r="Z36" s="82" t="n">
        <x:f>'3_Giả định'!$D$11</x:f>
        <x:v>18000000</x:v>
      </x:c>
    </x:row>
    <x:row r="37" ht="15" customHeight="1">
      <x:c r="A37" s="53" t="s">
        <x:v>340</x:v>
      </x:c>
      <x:c r="B37" s="82" t="n">
        <x:f>-'3_Giả định'!$D$12</x:f>
        <x:v>-65000000</x:v>
      </x:c>
      <x:c r="C37" s="82" t="n">
        <x:f t="shared" ref="C37" si="9">C34-C35-C36</x:f>
        <x:v>-19696628.5104</x:v>
      </x:c>
      <x:c r="D37" s="82" t="n">
        <x:f>D34-D35-D36</x:f>
        <x:v>-19132863.310176</x:v>
      </x:c>
      <x:c r="E37" s="82" t="n">
        <x:f>E34-E35-E36</x:f>
        <x:v>-18605638.62758208</x:v>
      </x:c>
      <x:c r="F37" s="82" t="n">
        <x:f>F34-F35-F36</x:f>
        <x:v>-18111860.007240076</x:v>
      </x:c>
      <x:c r="G37" s="82" t="n">
        <x:f>G34-G35-G36</x:f>
        <x:v>-17648677.125922725</x:v>
      </x:c>
      <x:c r="H37" s="82" t="n">
        <x:f>H34-H35-H36</x:f>
        <x:v>-17213464.193496</x:v>
      </x:c>
      <x:c r="I37" s="82" t="n">
        <x:f>I34-I35-I36</x:f>
        <x:v>-16803801.92041635</x:v>
      </x:c>
      <x:c r="J37" s="82" t="n">
        <x:f>J34-J35-J36</x:f>
        <x:v>-16417460.926431078</x:v>
      </x:c>
      <x:c r="K37" s="82" t="n">
        <x:f>K34-K35-K36</x:f>
        <x:v>-16052386.475157587</x:v>
      </x:c>
      <x:c r="L37" s="82" t="n">
        <x:f>L34-L35-L36</x:f>
        <x:v>-15706684.428442793</x:v>
      </x:c>
      <x:c r="M37" s="82" t="n">
        <x:f>M34-M35-M36</x:f>
        <x:v>-15378608.32289114</x:v>
      </x:c>
      <x:c r="N37" s="82" t="n">
        <x:f>N34-N35-N36</x:f>
        <x:v>-15066547.478758097</x:v>
      </x:c>
      <x:c r="O37" s="82" t="n">
        <x:f>O34-O35-O36</x:f>
        <x:v>-14769016.058589658</x:v>
      </x:c>
      <x:c r="P37" s="82" t="n">
        <x:f>P34-P35-P36</x:f>
        <x:v>-14484642.99959734</x:v>
      </x:c>
      <x:c r="Q37" s="82" t="n">
        <x:f>Q34-Q35-Q36</x:f>
        <x:v>-14212162.749838307</x:v>
      </x:c>
      <x:c r="R37" s="82" t="n">
        <x:f>R34-R35-R36</x:f>
        <x:v>-13950406.74386417</x:v>
      </x:c>
      <x:c r="S37" s="82" t="n">
        <x:f>S34-S35-S36</x:f>
        <x:v>-13698295.558648221</x:v>
      </x:c>
      <x:c r="T37" s="82" t="n">
        <x:f>T34-T35-T36</x:f>
        <x:v>-13454831.695335414</x:v>
      </x:c>
      <x:c r="U37" s="82" t="n">
        <x:f>U34-U35-U36</x:f>
        <x:v>-13219092.936715214</x:v>
      </x:c>
      <x:c r="V37" s="82" t="n">
        <x:f>V34-V35-V36</x:f>
        <x:v>-12990226.234324757</x:v>
      </x:c>
      <x:c r="W37" s="82" t="n">
        <x:f>W34-W35-W36</x:f>
        <x:v>-12767442.082776476</x:v>
      </x:c>
      <x:c r="X37" s="82" t="n">
        <x:f>X34-X35-X36</x:f>
        <x:v>-12550009.342296012</x:v>
      </x:c>
      <x:c r="Y37" s="82" t="n">
        <x:f>Y34-Y35-Y36</x:f>
        <x:v>-12337250.473576814</x:v>
      </x:c>
      <x:c r="Z37" s="82" t="n">
        <x:f>Z34-Z35-Z36</x:f>
        <x:v>-12128537.151928449</x:v>
      </x:c>
    </x:row>
    <x:row r="38" ht="15" customHeight="1">
      <x:c r="A38" s="53" t="s">
        <x:v>341</x:v>
      </x:c>
      <x:c r="B38" s="82" t="n">
        <x:f>'3_Giả định'!$D$13+B37</x:f>
        <x:v>15000000</x:v>
      </x:c>
      <x:c r="C38" s="82" t="n">
        <x:f t="shared" ref="C38" si="10">B38+C37</x:f>
        <x:v>-4696628.510400001</x:v>
      </x:c>
      <x:c r="D38" s="82" t="n">
        <x:f>C38+D37</x:f>
        <x:v>-23829491.820576</x:v>
      </x:c>
      <x:c r="E38" s="82" t="n">
        <x:f>D38+E37</x:f>
        <x:v>-42435130.448158085</x:v>
      </x:c>
      <x:c r="F38" s="82" t="n">
        <x:f>E38+F37</x:f>
        <x:v>-60546990.45539816</x:v>
      </x:c>
      <x:c r="G38" s="82" t="n">
        <x:f>F38+G37</x:f>
        <x:v>-78195667.58132088</x:v>
      </x:c>
      <x:c r="H38" s="82" t="n">
        <x:f>G38+H37</x:f>
        <x:v>-95409131.77481689</x:v>
      </x:c>
      <x:c r="I38" s="82" t="n">
        <x:f>H38+I37</x:f>
        <x:v>-112212933.69523324</x:v>
      </x:c>
      <x:c r="J38" s="82" t="n">
        <x:f>I38+J37</x:f>
        <x:v>-128630394.62166432</x:v>
      </x:c>
      <x:c r="K38" s="82" t="n">
        <x:f>J38+K37</x:f>
        <x:v>-144682781.0968219</x:v>
      </x:c>
      <x:c r="L38" s="82" t="n">
        <x:f>K38+L37</x:f>
        <x:v>-160389465.5252647</x:v>
      </x:c>
      <x:c r="M38" s="82" t="n">
        <x:f>L38+M37</x:f>
        <x:v>-175768073.84815586</x:v>
      </x:c>
      <x:c r="N38" s="82" t="n">
        <x:f>M38+N37</x:f>
        <x:v>-190834621.32691395</x:v>
      </x:c>
      <x:c r="O38" s="82" t="n">
        <x:f>N38+O37</x:f>
        <x:v>-205603637.38550362</x:v>
      </x:c>
      <x:c r="P38" s="82" t="n">
        <x:f>O38+P37</x:f>
        <x:v>-220088280.38510096</x:v>
      </x:c>
      <x:c r="Q38" s="82" t="n">
        <x:f>P38+Q37</x:f>
        <x:v>-234300443.13493925</x:v>
      </x:c>
      <x:c r="R38" s="82" t="n">
        <x:f>Q38+R37</x:f>
        <x:v>-248250849.87880343</x:v>
      </x:c>
      <x:c r="S38" s="82" t="n">
        <x:f>R38+S37</x:f>
        <x:v>-261949145.43745166</x:v>
      </x:c>
      <x:c r="T38" s="82" t="n">
        <x:f>S38+T37</x:f>
        <x:v>-275403977.13278705</x:v>
      </x:c>
      <x:c r="U38" s="82" t="n">
        <x:f>T38+U37</x:f>
        <x:v>-288623070.06950223</x:v>
      </x:c>
      <x:c r="V38" s="82" t="n">
        <x:f>U38+V37</x:f>
        <x:v>-301613296.303827</x:v>
      </x:c>
      <x:c r="W38" s="82" t="n">
        <x:f>V38+W37</x:f>
        <x:v>-314380738.3866035</x:v>
      </x:c>
      <x:c r="X38" s="82" t="n">
        <x:f>W38+X37</x:f>
        <x:v>-326930747.7288995</x:v>
      </x:c>
      <x:c r="Y38" s="82" t="n">
        <x:f>X38+Y37</x:f>
        <x:v>-339267998.20247626</x:v>
      </x:c>
      <x:c r="Z38" s="82" t="n">
        <x:f>Y38+Z37</x:f>
        <x:v>-351396535.3544047</x:v>
      </x:c>
    </x:row>
    <x:row r="39" ht="15" customHeight="1">
      <x:c r="A39" s="53" t="s">
        <x:v>342</x:v>
      </x:c>
      <x:c r="B39" s="82" t="n">
        <x:f>B37</x:f>
        <x:v>-65000000</x:v>
      </x:c>
      <x:c r="C39" s="82" t="n">
        <x:f t="shared" ref="C39" si="11">B39+C37</x:f>
        <x:v>-84696628.5104</x:v>
      </x:c>
      <x:c r="D39" s="82" t="n">
        <x:f>C39+D37</x:f>
        <x:v>-103829491.820576</x:v>
      </x:c>
      <x:c r="E39" s="82" t="n">
        <x:f>D39+E37</x:f>
        <x:v>-122435130.44815809</x:v>
      </x:c>
      <x:c r="F39" s="82" t="n">
        <x:f>E39+F37</x:f>
        <x:v>-140546990.45539817</x:v>
      </x:c>
      <x:c r="G39" s="82" t="n">
        <x:f>F39+G37</x:f>
        <x:v>-158195667.58132088</x:v>
      </x:c>
      <x:c r="H39" s="82" t="n">
        <x:f>G39+H37</x:f>
        <x:v>-175409131.77481687</x:v>
      </x:c>
      <x:c r="I39" s="82" t="n">
        <x:f>H39+I37</x:f>
        <x:v>-192212933.69523323</x:v>
      </x:c>
      <x:c r="J39" s="82" t="n">
        <x:f>I39+J37</x:f>
        <x:v>-208630394.62166432</x:v>
      </x:c>
      <x:c r="K39" s="82" t="n">
        <x:f>J39+K37</x:f>
        <x:v>-224682781.0968219</x:v>
      </x:c>
      <x:c r="L39" s="82" t="n">
        <x:f>K39+L37</x:f>
        <x:v>-240389465.5252647</x:v>
      </x:c>
      <x:c r="M39" s="82" t="n">
        <x:f>L39+M37</x:f>
        <x:v>-255768073.84815586</x:v>
      </x:c>
      <x:c r="N39" s="82" t="n">
        <x:f>M39+N37</x:f>
        <x:v>-270834621.32691395</x:v>
      </x:c>
      <x:c r="O39" s="82" t="n">
        <x:f>N39+O37</x:f>
        <x:v>-285603637.3855036</x:v>
      </x:c>
      <x:c r="P39" s="82" t="n">
        <x:f>O39+P37</x:f>
        <x:v>-300088280.38510096</x:v>
      </x:c>
      <x:c r="Q39" s="82" t="n">
        <x:f>P39+Q37</x:f>
        <x:v>-314300443.13493925</x:v>
      </x:c>
      <x:c r="R39" s="82" t="n">
        <x:f>Q39+R37</x:f>
        <x:v>-328250849.87880343</x:v>
      </x:c>
      <x:c r="S39" s="82" t="n">
        <x:f>R39+S37</x:f>
        <x:v>-341949145.43745166</x:v>
      </x:c>
      <x:c r="T39" s="82" t="n">
        <x:f>S39+T37</x:f>
        <x:v>-355403977.13278705</x:v>
      </x:c>
      <x:c r="U39" s="82" t="n">
        <x:f>T39+U37</x:f>
        <x:v>-368623070.06950223</x:v>
      </x:c>
      <x:c r="V39" s="82" t="n">
        <x:f>U39+V37</x:f>
        <x:v>-381613296.303827</x:v>
      </x:c>
      <x:c r="W39" s="82" t="n">
        <x:f>V39+W37</x:f>
        <x:v>-394380738.3866035</x:v>
      </x:c>
      <x:c r="X39" s="82" t="n">
        <x:f>W39+X37</x:f>
        <x:v>-406930747.7288995</x:v>
      </x:c>
      <x:c r="Y39" s="82" t="n">
        <x:f>X39+Y37</x:f>
        <x:v>-419267998.20247626</x:v>
      </x:c>
      <x:c r="Z39" s="82" t="n">
        <x:f>Y39+Z37</x:f>
        <x:v>-431396535.3544047</x:v>
      </x:c>
    </x:row>
    <x:row r="42" ht="15" customHeight="1">
      <x:c r="A42" s="83" t="s">
        <x:v>345</x:v>
      </x:c>
    </x:row>
    <x:row r="43" ht="26.25" customHeight="1">
      <x:c r="A43" s="24" t="s">
        <x:v>294</x:v>
      </x:c>
      <x:c r="B43" s="24" t="s">
        <x:v>258</x:v>
      </x:c>
      <x:c r="C43" s="24" t="s">
        <x:v>259</x:v>
      </x:c>
      <x:c r="D43" s="24" t="s">
        <x:v>260</x:v>
      </x:c>
      <x:c r="E43" s="24" t="s">
        <x:v>295</x:v>
      </x:c>
    </x:row>
    <x:row r="44" ht="31.5" customHeight="1">
      <x:c r="A44" s="21" t="s">
        <x:v>346</x:v>
      </x:c>
      <x:c r="B44" s="54" t="n">
        <x:f>B13+NPV('3_Giả định'!$B$14/12,C13:Z13)</x:f>
        <x:v>677096153.0760422</x:v>
      </x:c>
      <x:c r="C44" s="54" t="n">
        <x:f>B25+NPV('3_Giả định'!$C$14/12,C25:Z25)</x:f>
        <x:v>31476136.37373744</x:v>
      </x:c>
      <x:c r="D44" s="54" t="n">
        <x:f>B37+NPV('3_Giả định'!$D$14/12,C37:Z37)</x:f>
        <x:v>-383777999.47823757</x:v>
      </x:c>
      <x:c r="E44" t="s">
        <x:v>347</x:v>
      </x:c>
    </x:row>
    <x:row r="45" ht="15" customHeight="1">
      <x:c r="A45" s="53" t="s">
        <x:v>348</x:v>
      </x:c>
      <x:c r="B45" s="56" t="n">
        <x:f>IFERROR((1+IRR(B13:Z13,0.01))^12-1,"Không tính được")</x:f>
        <x:v>5.553968684181697</x:v>
      </x:c>
      <x:c r="C45" s="56" t="n">
        <x:f>IFERROR((1+IRR(B25:Z25,0.01))^12-1,"Không tính được")</x:f>
        <x:v>0.3432663553326014</x:v>
      </x:c>
      <x:c r="D45" s="56" t="str">
        <x:f>IFERROR((1+IRR(B37:Z37,0.01))^12-1,"Không tính được")</x:f>
        <x:v>Không tính được</x:v>
      </x:c>
      <x:c r="E45" t="s">
        <x:v>349</x:v>
      </x:c>
      <x:c r="F45" s="57" t="s">
        <x:v>350</x:v>
      </x:c>
    </x:row>
    <x:row r="46" ht="15" customHeight="1">
      <x:c r="A46" s="53" t="s">
        <x:v>351</x:v>
      </x:c>
      <x:c r="B46" s="54" t="n">
        <x:f>MIN(B14:Z14)</x:f>
        <x:v>46206134.13762583</x:v>
      </x:c>
      <x:c r="C46" s="54" t="n">
        <x:f>MIN(B26:Z26)</x:f>
        <x:v>-36644693.30347813</x:v>
      </x:c>
      <x:c r="D46" s="54" t="n">
        <x:f>MIN(B38:Z38)</x:f>
        <x:v>-351396535.3544047</x:v>
      </x:c>
      <x:c r="E46" t="s">
        <x:v>347</x:v>
      </x:c>
    </x:row>
    <x:row r="47" ht="15" customHeight="1">
      <x:c r="A47" s="53" t="s">
        <x:v>352</x:v>
      </x:c>
      <x:c r="B47" s="84" t="str">
        <x:f>IF(C14&lt;0,1,IF(D14&lt;0,2,IF(E14&lt;0,3,IF(F14&lt;0,4,IF(G14&lt;0,5,IF(H14&lt;0,6,IF(I14&lt;0,7,IF(J14&lt;0,8,IF(K14&lt;0,9,IF(L14&lt;0,10,IF(M14&lt;0,11,IF(N14&lt;0,12,IF(O14&lt;0,13,IF(P14&lt;0,14,IF(Q14&lt;0,15,IF(R14&lt;0,16,IF(S14&lt;0,17,IF(T14&lt;0,18,IF(U14&lt;0,19,IF(V14&lt;0,20,IF(W14&lt;0,21,IF(X14&lt;0,22,IF(Y14&lt;0,23,IF(Z14&lt;0,24,"Không hết tiền trong 24 tháng"))))))))))))))))))))))))</x:f>
        <x:v>Không hết tiền trong 24 tháng</x:v>
      </x:c>
      <x:c r="C47" s="84" t="n">
        <x:f>IF(C26&lt;0,1,IF(D26&lt;0,2,IF(E26&lt;0,3,IF(F26&lt;0,4,IF(G26&lt;0,5,IF(H26&lt;0,6,IF(I26&lt;0,7,IF(J26&lt;0,8,IF(K26&lt;0,9,IF(L26&lt;0,10,IF(M26&lt;0,11,IF(N26&lt;0,12,IF(O26&lt;0,13,IF(P26&lt;0,14,IF(Q26&lt;0,15,IF(R26&lt;0,16,IF(S26&lt;0,17,IF(T26&lt;0,18,IF(U26&lt;0,19,IF(V26&lt;0,20,IF(W26&lt;0,21,IF(X26&lt;0,22,IF(Y26&lt;0,23,IF(Z26&lt;0,24,"Không hết tiền trong 24 tháng"))))))))))))))))))))))))</x:f>
        <x:v>4</x:v>
      </x:c>
      <x:c r="D47" s="84" t="n">
        <x:f>IF(C38&lt;0,1,IF(D38&lt;0,2,IF(E38&lt;0,3,IF(F38&lt;0,4,IF(G38&lt;0,5,IF(H38&lt;0,6,IF(I38&lt;0,7,IF(J38&lt;0,8,IF(K38&lt;0,9,IF(L38&lt;0,10,IF(M38&lt;0,11,IF(N38&lt;0,12,IF(O38&lt;0,13,IF(P38&lt;0,14,IF(Q38&lt;0,15,IF(R38&lt;0,16,IF(S38&lt;0,17,IF(T38&lt;0,18,IF(U38&lt;0,19,IF(V38&lt;0,20,IF(W38&lt;0,21,IF(X38&lt;0,22,IF(Y38&lt;0,23,IF(Z38&lt;0,24,"Không hết tiền trong 24 tháng"))))))))))))))))))))))))</x:f>
        <x:v>1</x:v>
      </x:c>
      <x:c r="E47" t="s">
        <x:v>353</x:v>
      </x:c>
      <x:c r="F47" s="57" t="s">
        <x:v>354</x:v>
      </x:c>
    </x:row>
    <x:row r="48" ht="15" customHeight="1">
      <x:c r="A48" s="53" t="s">
        <x:v>355</x:v>
      </x:c>
      <x:c r="B48" s="84" t="n">
        <x:f>IF(C15&gt;=0,1,IF(D15&gt;=0,2,IF(E15&gt;=0,3,IF(F15&gt;=0,4,IF(G15&gt;=0,5,IF(H15&gt;=0,6,IF(I15&gt;=0,7,IF(J15&gt;=0,8,IF(K15&gt;=0,9,IF(L15&gt;=0,10,IF(M15&gt;=0,11,IF(N15&gt;=0,12,IF(O15&gt;=0,13,IF(P15&gt;=0,14,IF(Q15&gt;=0,15,IF(R15&gt;=0,16,IF(S15&gt;=0,17,IF(T15&gt;=0,18,IF(U15&gt;=0,19,IF(V15&gt;=0,20,IF(W15&gt;=0,21,IF(X15&gt;=0,22,IF(Y15&gt;=0,23,IF(Z15&gt;=0,24,"Chưa hoàn vốn trong 24 tháng"))))))))))))))))))))))))</x:f>
        <x:v>12</x:v>
      </x:c>
      <x:c r="C48" s="84" t="n">
        <x:f>IF(C27&gt;=0,1,IF(D27&gt;=0,2,IF(E27&gt;=0,3,IF(F27&gt;=0,4,IF(G27&gt;=0,5,IF(H27&gt;=0,6,IF(I27&gt;=0,7,IF(J27&gt;=0,8,IF(K27&gt;=0,9,IF(L27&gt;=0,10,IF(M27&gt;=0,11,IF(N27&gt;=0,12,IF(O27&gt;=0,13,IF(P27&gt;=0,14,IF(Q27&gt;=0,15,IF(R27&gt;=0,16,IF(S27&gt;=0,17,IF(T27&gt;=0,18,IF(U27&gt;=0,19,IF(V27&gt;=0,20,IF(W27&gt;=0,21,IF(X27&gt;=0,22,IF(Y27&gt;=0,23,IF(Z27&gt;=0,24,"Chưa hoàn vốn trong 24 tháng"))))))))))))))))))))))))</x:f>
        <x:v>22</x:v>
      </x:c>
      <x:c r="D48" s="84" t="str">
        <x:f>IF(C39&gt;=0,1,IF(D39&gt;=0,2,IF(E39&gt;=0,3,IF(F39&gt;=0,4,IF(G39&gt;=0,5,IF(H39&gt;=0,6,IF(I39&gt;=0,7,IF(J39&gt;=0,8,IF(K39&gt;=0,9,IF(L39&gt;=0,10,IF(M39&gt;=0,11,IF(N39&gt;=0,12,IF(O39&gt;=0,13,IF(P39&gt;=0,14,IF(Q39&gt;=0,15,IF(R39&gt;=0,16,IF(S39&gt;=0,17,IF(T39&gt;=0,18,IF(U39&gt;=0,19,IF(V39&gt;=0,20,IF(W39&gt;=0,21,IF(X39&gt;=0,22,IF(Y39&gt;=0,23,IF(Z39&gt;=0,24,"Chưa hoàn vốn trong 24 tháng"))))))))))))))))))))))))</x:f>
        <x:v>Chưa hoàn vốn trong 24 tháng</x:v>
      </x:c>
      <x:c r="E48" t="s">
        <x:v>356</x:v>
      </x:c>
    </x:row>
    <x:row r="49" ht="15" customHeight="1">
      <x:c r="A49" s="53" t="s">
        <x:v>357</x:v>
      </x:c>
      <x:c r="B49" s="64" t="n">
        <x:f>Z7</x:f>
        <x:v>692.5175063569915</x:v>
      </x:c>
      <x:c r="C49" s="64" t="n">
        <x:f>Z19</x:f>
        <x:v>293.31109193749285</x:v>
      </x:c>
      <x:c r="D49" s="64" t="n">
        <x:f>Z31</x:f>
        <x:v>73.66293384320178</x:v>
      </x:c>
    </x:row>
    <x:row r="50" ht="15" customHeight="1">
      <x:c r="A50" s="53" t="s">
        <x:v>358</x:v>
      </x:c>
      <x:c r="B50" s="54" t="n">
        <x:f>Z8</x:f>
        <x:v>181727673.94817626</x:v>
      </x:c>
      <x:c r="C50" s="54" t="n">
        <x:f>Z20</x:f>
        <x:v>69972294.09260829</x:v>
      </x:c>
      <x:c r="D50" s="54" t="n">
        <x:f>Z32</x:f>
        <x:v>14058423.598107373</x:v>
      </x:c>
    </x:row>
    <x:row r="53" ht="15" customHeight="1">
      <x:c r="A53" s="83" t="s">
        <x:v>359</x:v>
      </x:c>
    </x:row>
    <x:row r="54" ht="15" customHeight="1">
      <x:c r="A54" s="85" t="s">
        <x:v>360</x:v>
      </x:c>
      <x:c r="B54" s="86" t="n">
        <x:v>0.2</x:v>
      </x:c>
      <x:c r="C54" s="57" t="s">
        <x:v>361</x:v>
      </x:c>
    </x:row>
    <x:row r="56" ht="45" customHeight="1">
      <x:c r="A56" s="87" t="s">
        <x:v>362</x:v>
      </x:c>
      <x:c r="B56" s="88" t="s">
        <x:v>363</x:v>
      </x:c>
      <x:c r="C56" s="88" t="s">
        <x:v>364</x:v>
      </x:c>
      <x:c r="D56" s="88" t="s">
        <x:v>365</x:v>
      </x:c>
      <x:c r="E56" s="88" t="s">
        <x:v>366</x:v>
      </x:c>
      <x:c r="F56" s="88" t="s">
        <x:v>352</x:v>
      </x:c>
      <x:c r="G56" s="88" t="s">
        <x:v>367</x:v>
      </x:c>
      <x:c r="H56" s="88" t="s">
        <x:v>368</x:v>
      </x:c>
    </x:row>
    <x:row r="57" ht="27.75" customHeight="1">
      <x:c r="A57" s="15" t="s">
        <x:v>369</x:v>
      </x:c>
      <x:c r="B57" s="89" t="s">
        <x:v>370</x:v>
      </x:c>
      <x:c r="C57" s="89" t="s">
        <x:v>370</x:v>
      </x:c>
      <x:c r="D57" s="90" t="n">
        <x:f>(B94+NPV($K$80/12,C94:Z94))/1000000</x:f>
        <x:v>31.476136373737454</x:v>
      </x:c>
      <x:c r="E57" s="89" t="s">
        <x:v>370</x:v>
      </x:c>
      <x:c r="F57" s="91" t="n">
        <x:f>IF(C95&lt;0,1,IF(D95&lt;0,2,IF(E95&lt;0,3,IF(F95&lt;0,4,IF(G95&lt;0,5,IF(H95&lt;0,6,IF(I95&lt;0,7,IF(J95&lt;0,8,IF(K95&lt;0,9,IF(L95&lt;0,10,IF(M95&lt;0,11,IF(N95&lt;0,12,IF(O95&lt;0,13,IF(P95&lt;0,14,IF(Q95&lt;0,15,IF(R95&lt;0,16,IF(S95&lt;0,17,IF(T95&lt;0,18,IF(U95&lt;0,19,IF(V95&lt;0,20,IF(W95&lt;0,21,IF(X95&lt;0,22,IF(Y95&lt;0,23,IF(Z95&lt;0,24,"Không hết tiền trong 24 tháng"))))))))))))))))))))))))</x:f>
        <x:v>4</x:v>
      </x:c>
      <x:c r="G57" s="91" t="n">
        <x:f>IF(C96&gt;=0,1,IF(D96&gt;=0,2,IF(E96&gt;=0,3,IF(F96&gt;=0,4,IF(G96&gt;=0,5,IF(H96&gt;=0,6,IF(I96&gt;=0,7,IF(J96&gt;=0,8,IF(K96&gt;=0,9,IF(L96&gt;=0,10,IF(M96&gt;=0,11,IF(N96&gt;=0,12,IF(O96&gt;=0,13,IF(P96&gt;=0,14,IF(Q96&gt;=0,15,IF(R96&gt;=0,16,IF(S96&gt;=0,17,IF(T96&gt;=0,18,IF(U96&gt;=0,19,IF(V96&gt;=0,20,IF(W96&gt;=0,21,IF(X96&gt;=0,22,IF(Y96&gt;=0,23,IF(Z96&gt;=0,24,"Chưa hoàn vốn trong 24 tháng"))))))))))))))))))))))))</x:f>
        <x:v>22</x:v>
      </x:c>
    </x:row>
    <x:row r="58" ht="27.75" customHeight="1">
      <x:c r="A58" s="85" t="s">
        <x:v>371</x:v>
      </x:c>
      <x:c r="B58" s="90" t="n">
        <x:f>'3_Giả định'!$C$17</x:f>
        <x:v>238560</x:v>
      </x:c>
      <x:c r="C58" s="90" t="n">
        <x:f>B81</x:f>
        <x:v>190848</x:v>
      </x:c>
      <x:c r="D58" s="90" t="n">
        <x:f>(B100+NPV($K$81/12,C100:Z100))/1000000</x:f>
        <x:v>-97.90218441083356</x:v>
      </x:c>
      <x:c r="E58" s="90" t="n">
        <x:f t="shared" ref="E58" si="12">D58-$D$57</x:f>
        <x:v>-129.378320784571</x:v>
      </x:c>
      <x:c r="F58" s="91" t="n">
        <x:f>IF(C101&lt;0,1,IF(D101&lt;0,2,IF(E101&lt;0,3,IF(F101&lt;0,4,IF(G101&lt;0,5,IF(H101&lt;0,6,IF(I101&lt;0,7,IF(J101&lt;0,8,IF(K101&lt;0,9,IF(L101&lt;0,10,IF(M101&lt;0,11,IF(N101&lt;0,12,IF(O101&lt;0,13,IF(P101&lt;0,14,IF(Q101&lt;0,15,IF(R101&lt;0,16,IF(S101&lt;0,17,IF(T101&lt;0,18,IF(U101&lt;0,19,IF(V101&lt;0,20,IF(W101&lt;0,21,IF(X101&lt;0,22,IF(Y101&lt;0,23,IF(Z101&lt;0,24,"Không hết tiền trong 24 tháng"))))))))))))))))))))))))</x:f>
        <x:v>4</x:v>
      </x:c>
      <x:c r="G58" s="91" t="str">
        <x:f>IF(C102&gt;=0,1,IF(D102&gt;=0,2,IF(E102&gt;=0,3,IF(F102&gt;=0,4,IF(G102&gt;=0,5,IF(H102&gt;=0,6,IF(I102&gt;=0,7,IF(J102&gt;=0,8,IF(K102&gt;=0,9,IF(L102&gt;=0,10,IF(M102&gt;=0,11,IF(N102&gt;=0,12,IF(O102&gt;=0,13,IF(P102&gt;=0,14,IF(Q102&gt;=0,15,IF(R102&gt;=0,16,IF(S102&gt;=0,17,IF(T102&gt;=0,18,IF(U102&gt;=0,19,IF(V102&gt;=0,20,IF(W102&gt;=0,21,IF(X102&gt;=0,22,IF(Y102&gt;=0,23,IF(Z102&gt;=0,24,"Chưa hoàn vốn trong 24 tháng"))))))))))))))))))))))))</x:f>
        <x:v>Chưa hoàn vốn trong 24 tháng</x:v>
      </x:c>
      <x:c r="H58" s="92" t="n">
        <x:f t="shared" ref="H58" si="13">RANK(D58,$D$58:$D$64,1)</x:f>
        <x:v>1</x:v>
      </x:c>
    </x:row>
    <x:row r="59" ht="27.75" customHeight="1">
      <x:c r="A59" s="85" t="s">
        <x:v>372</x:v>
      </x:c>
      <x:c r="B59" s="90" t="n">
        <x:f>'3_Giả định'!$C$18</x:f>
        <x:v>50761.4184</x:v>
      </x:c>
      <x:c r="C59" s="90" t="n">
        <x:f>C82</x:f>
        <x:v>60913.70208</x:v>
      </x:c>
      <x:c r="D59" s="90" t="n">
        <x:f>(B106+NPV($K$82/12,C106:Z106))/1000000</x:f>
        <x:v>3.9466801646704077</x:v>
      </x:c>
      <x:c r="E59" s="90" t="n">
        <x:f>D59-$D$57</x:f>
        <x:v>-27.529456209067046</x:v>
      </x:c>
      <x:c r="F59" s="91" t="n">
        <x:f>IF(C107&lt;0,1,IF(D107&lt;0,2,IF(E107&lt;0,3,IF(F107&lt;0,4,IF(G107&lt;0,5,IF(H107&lt;0,6,IF(I107&lt;0,7,IF(J107&lt;0,8,IF(K107&lt;0,9,IF(L107&lt;0,10,IF(M107&lt;0,11,IF(N107&lt;0,12,IF(O107&lt;0,13,IF(P107&lt;0,14,IF(Q107&lt;0,15,IF(R107&lt;0,16,IF(S107&lt;0,17,IF(T107&lt;0,18,IF(U107&lt;0,19,IF(V107&lt;0,20,IF(W107&lt;0,21,IF(X107&lt;0,22,IF(Y107&lt;0,23,IF(Z107&lt;0,24,"Không hết tiền trong 24 tháng"))))))))))))))))))))))))</x:f>
        <x:v>4</x:v>
      </x:c>
      <x:c r="G59" s="91" t="n">
        <x:f>IF(C108&gt;=0,1,IF(D108&gt;=0,2,IF(E108&gt;=0,3,IF(F108&gt;=0,4,IF(G108&gt;=0,5,IF(H108&gt;=0,6,IF(I108&gt;=0,7,IF(J108&gt;=0,8,IF(K108&gt;=0,9,IF(L108&gt;=0,10,IF(M108&gt;=0,11,IF(N108&gt;=0,12,IF(O108&gt;=0,13,IF(P108&gt;=0,14,IF(Q108&gt;=0,15,IF(R108&gt;=0,16,IF(S108&gt;=0,17,IF(T108&gt;=0,18,IF(U108&gt;=0,19,IF(V108&gt;=0,20,IF(W108&gt;=0,21,IF(X108&gt;=0,22,IF(Y108&gt;=0,23,IF(Z108&gt;=0,24,"Chưa hoàn vốn trong 24 tháng"))))))))))))))))))))))))</x:f>
        <x:v>23</x:v>
      </x:c>
      <x:c r="H59" s="92" t="n">
        <x:f>RANK(D59,$D$58:$D$64,1)</x:f>
        <x:v>5</x:v>
      </x:c>
    </x:row>
    <x:row r="60" ht="27.75" customHeight="1">
      <x:c r="A60" s="85" t="s">
        <x:v>373</x:v>
      </x:c>
      <x:c r="B60" s="93" t="n">
        <x:f>'3_Giả định'!$C$9</x:f>
        <x:v>0.05</x:v>
      </x:c>
      <x:c r="C60" s="93" t="n">
        <x:f>F83</x:f>
        <x:v>0.06</x:v>
      </x:c>
      <x:c r="D60" s="90" t="n">
        <x:f>(B112+NPV($K$83/12,C112:Z112))/1000000</x:f>
        <x:v>4.303241649899691</x:v>
      </x:c>
      <x:c r="E60" s="90" t="n">
        <x:f>D60-$D$57</x:f>
        <x:v>-27.172894723837764</x:v>
      </x:c>
      <x:c r="F60" s="91" t="n">
        <x:f>IF(C113&lt;0,1,IF(D113&lt;0,2,IF(E113&lt;0,3,IF(F113&lt;0,4,IF(G113&lt;0,5,IF(H113&lt;0,6,IF(I113&lt;0,7,IF(J113&lt;0,8,IF(K113&lt;0,9,IF(L113&lt;0,10,IF(M113&lt;0,11,IF(N113&lt;0,12,IF(O113&lt;0,13,IF(P113&lt;0,14,IF(Q113&lt;0,15,IF(R113&lt;0,16,IF(S113&lt;0,17,IF(T113&lt;0,18,IF(U113&lt;0,19,IF(V113&lt;0,20,IF(W113&lt;0,21,IF(X113&lt;0,22,IF(Y113&lt;0,23,IF(Z113&lt;0,24,"Không hết tiền trong 24 tháng"))))))))))))))))))))))))</x:f>
        <x:v>4</x:v>
      </x:c>
      <x:c r="G60" s="91" t="n">
        <x:f>IF(C114&gt;=0,1,IF(D114&gt;=0,2,IF(E114&gt;=0,3,IF(F114&gt;=0,4,IF(G114&gt;=0,5,IF(H114&gt;=0,6,IF(I114&gt;=0,7,IF(J114&gt;=0,8,IF(K114&gt;=0,9,IF(L114&gt;=0,10,IF(M114&gt;=0,11,IF(N114&gt;=0,12,IF(O114&gt;=0,13,IF(P114&gt;=0,14,IF(Q114&gt;=0,15,IF(R114&gt;=0,16,IF(S114&gt;=0,17,IF(T114&gt;=0,18,IF(U114&gt;=0,19,IF(V114&gt;=0,20,IF(W114&gt;=0,21,IF(X114&gt;=0,22,IF(Y114&gt;=0,23,IF(Z114&gt;=0,24,"Chưa hoàn vốn trong 24 tháng"))))))))))))))))))))))))</x:f>
        <x:v>23</x:v>
      </x:c>
      <x:c r="H60" s="92" t="n">
        <x:f>RANK(D60,$D$58:$D$64,1)</x:f>
        <x:v>6</x:v>
      </x:c>
    </x:row>
    <x:row r="61" ht="27.75" customHeight="1">
      <x:c r="A61" s="85" t="s">
        <x:v>374</x:v>
      </x:c>
      <x:c r="B61" s="90" t="n">
        <x:f>'3_Giả định'!$C$10</x:f>
        <x:v>312840</x:v>
      </x:c>
      <x:c r="C61" s="90" t="n">
        <x:f>G84</x:f>
        <x:v>375408</x:v>
      </x:c>
      <x:c r="D61" s="90" t="n">
        <x:f>(B118+NPV($K$84/12,C118:Z118))/1000000</x:f>
        <x:v>8.223202607673944</x:v>
      </x:c>
      <x:c r="E61" s="90" t="n">
        <x:f>D61-$D$57</x:f>
        <x:v>-23.25293376606351</x:v>
      </x:c>
      <x:c r="F61" s="91" t="n">
        <x:f>IF(C119&lt;0,1,IF(D119&lt;0,2,IF(E119&lt;0,3,IF(F119&lt;0,4,IF(G119&lt;0,5,IF(H119&lt;0,6,IF(I119&lt;0,7,IF(J119&lt;0,8,IF(K119&lt;0,9,IF(L119&lt;0,10,IF(M119&lt;0,11,IF(N119&lt;0,12,IF(O119&lt;0,13,IF(P119&lt;0,14,IF(Q119&lt;0,15,IF(R119&lt;0,16,IF(S119&lt;0,17,IF(T119&lt;0,18,IF(U119&lt;0,19,IF(V119&lt;0,20,IF(W119&lt;0,21,IF(X119&lt;0,22,IF(Y119&lt;0,23,IF(Z119&lt;0,24,"Không hết tiền trong 24 tháng"))))))))))))))))))))))))</x:f>
        <x:v>4</x:v>
      </x:c>
      <x:c r="G61" s="91" t="n">
        <x:f>IF(C120&gt;=0,1,IF(D120&gt;=0,2,IF(E120&gt;=0,3,IF(F120&gt;=0,4,IF(G120&gt;=0,5,IF(H120&gt;=0,6,IF(I120&gt;=0,7,IF(J120&gt;=0,8,IF(K120&gt;=0,9,IF(L120&gt;=0,10,IF(M120&gt;=0,11,IF(N120&gt;=0,12,IF(O120&gt;=0,13,IF(P120&gt;=0,14,IF(Q120&gt;=0,15,IF(R120&gt;=0,16,IF(S120&gt;=0,17,IF(T120&gt;=0,18,IF(U120&gt;=0,19,IF(V120&gt;=0,20,IF(W120&gt;=0,21,IF(X120&gt;=0,22,IF(Y120&gt;=0,23,IF(Z120&gt;=0,24,"Chưa hoàn vốn trong 24 tháng"))))))))))))))))))))))))</x:f>
        <x:v>23</x:v>
      </x:c>
      <x:c r="H61" s="92" t="n">
        <x:f>RANK(D61,$D$58:$D$64,1)</x:f>
        <x:v>7</x:v>
      </x:c>
    </x:row>
    <x:row r="62" ht="27.75" customHeight="1">
      <x:c r="A62" s="85" t="s">
        <x:v>375</x:v>
      </x:c>
      <x:c r="B62" s="94" t="n">
        <x:f>'3_Giả định'!$C$7</x:f>
        <x:v>10</x:v>
      </x:c>
      <x:c r="C62" s="94" t="n">
        <x:f>D85</x:f>
        <x:v>8</x:v>
      </x:c>
      <x:c r="D62" s="90" t="n">
        <x:f>(B124+NPV($K$85/12,C124:Z124))/1000000</x:f>
        <x:v>-47.119794435703064</x:v>
      </x:c>
      <x:c r="E62" s="90" t="n">
        <x:f>D62-$D$57</x:f>
        <x:v>-78.59593080944052</x:v>
      </x:c>
      <x:c r="F62" s="91" t="n">
        <x:f>IF(C125&lt;0,1,IF(D125&lt;0,2,IF(E125&lt;0,3,IF(F125&lt;0,4,IF(G125&lt;0,5,IF(H125&lt;0,6,IF(I125&lt;0,7,IF(J125&lt;0,8,IF(K125&lt;0,9,IF(L125&lt;0,10,IF(M125&lt;0,11,IF(N125&lt;0,12,IF(O125&lt;0,13,IF(P125&lt;0,14,IF(Q125&lt;0,15,IF(R125&lt;0,16,IF(S125&lt;0,17,IF(T125&lt;0,18,IF(U125&lt;0,19,IF(V125&lt;0,20,IF(W125&lt;0,21,IF(X125&lt;0,22,IF(Y125&lt;0,23,IF(Z125&lt;0,24,"Không hết tiền trong 24 tháng"))))))))))))))))))))))))</x:f>
        <x:v>4</x:v>
      </x:c>
      <x:c r="G62" s="91" t="str">
        <x:f>IF(C126&gt;=0,1,IF(D126&gt;=0,2,IF(E126&gt;=0,3,IF(F126&gt;=0,4,IF(G126&gt;=0,5,IF(H126&gt;=0,6,IF(I126&gt;=0,7,IF(J126&gt;=0,8,IF(K126&gt;=0,9,IF(L126&gt;=0,10,IF(M126&gt;=0,11,IF(N126&gt;=0,12,IF(O126&gt;=0,13,IF(P126&gt;=0,14,IF(Q126&gt;=0,15,IF(R126&gt;=0,16,IF(S126&gt;=0,17,IF(T126&gt;=0,18,IF(U126&gt;=0,19,IF(V126&gt;=0,20,IF(W126&gt;=0,21,IF(X126&gt;=0,22,IF(Y126&gt;=0,23,IF(Z126&gt;=0,24,"Chưa hoàn vốn trong 24 tháng"))))))))))))))))))))))))</x:f>
        <x:v>Chưa hoàn vốn trong 24 tháng</x:v>
      </x:c>
      <x:c r="H62" s="92" t="n">
        <x:f>RANK(D62,$D$58:$D$64,1)</x:f>
        <x:v>2</x:v>
      </x:c>
    </x:row>
    <x:row r="63" ht="27.75" customHeight="1">
      <x:c r="A63" s="85" t="s">
        <x:v>376</x:v>
      </x:c>
      <x:c r="B63" s="93" t="n">
        <x:f>'3_Giả định'!$C$8</x:f>
        <x:v>0.05</x:v>
      </x:c>
      <x:c r="C63" s="93" t="n">
        <x:f>E86</x:f>
        <x:v>0.04000000000000001</x:v>
      </x:c>
      <x:c r="D63" s="90" t="n">
        <x:f>(B130+NPV($K$86/12,C130:Z130))/1000000</x:f>
        <x:v>-0.4303834190669656</x:v>
      </x:c>
      <x:c r="E63" s="90" t="n">
        <x:f>D63-$D$57</x:f>
        <x:v>-31.90651979280442</x:v>
      </x:c>
      <x:c r="F63" s="91" t="n">
        <x:f>IF(C131&lt;0,1,IF(D131&lt;0,2,IF(E131&lt;0,3,IF(F131&lt;0,4,IF(G131&lt;0,5,IF(H131&lt;0,6,IF(I131&lt;0,7,IF(J131&lt;0,8,IF(K131&lt;0,9,IF(L131&lt;0,10,IF(M131&lt;0,11,IF(N131&lt;0,12,IF(O131&lt;0,13,IF(P131&lt;0,14,IF(Q131&lt;0,15,IF(R131&lt;0,16,IF(S131&lt;0,17,IF(T131&lt;0,18,IF(U131&lt;0,19,IF(V131&lt;0,20,IF(W131&lt;0,21,IF(X131&lt;0,22,IF(Y131&lt;0,23,IF(Z131&lt;0,24,"Không hết tiền trong 24 tháng"))))))))))))))))))))))))</x:f>
        <x:v>4</x:v>
      </x:c>
      <x:c r="G63" s="91" t="n">
        <x:f>IF(C132&gt;=0,1,IF(D132&gt;=0,2,IF(E132&gt;=0,3,IF(F132&gt;=0,4,IF(G132&gt;=0,5,IF(H132&gt;=0,6,IF(I132&gt;=0,7,IF(J132&gt;=0,8,IF(K132&gt;=0,9,IF(L132&gt;=0,10,IF(M132&gt;=0,11,IF(N132&gt;=0,12,IF(O132&gt;=0,13,IF(P132&gt;=0,14,IF(Q132&gt;=0,15,IF(R132&gt;=0,16,IF(S132&gt;=0,17,IF(T132&gt;=0,18,IF(U132&gt;=0,19,IF(V132&gt;=0,20,IF(W132&gt;=0,21,IF(X132&gt;=0,22,IF(Y132&gt;=0,23,IF(Z132&gt;=0,24,"Chưa hoàn vốn trong 24 tháng"))))))))))))))))))))))))</x:f>
        <x:v>23</x:v>
      </x:c>
      <x:c r="H63" s="92" t="n">
        <x:f>RANK(D63,$D$58:$D$64,1)</x:f>
        <x:v>4</x:v>
      </x:c>
    </x:row>
    <x:row r="64" ht="27.75" customHeight="1">
      <x:c r="A64" s="85" t="s">
        <x:v>377</x:v>
      </x:c>
      <x:c r="B64" s="90" t="n">
        <x:f>'3_Giả định'!$C$11</x:f>
        <x:v>15000000</x:v>
      </x:c>
      <x:c r="C64" s="90" t="n">
        <x:f>H87</x:f>
        <x:v>18000000</x:v>
      </x:c>
      <x:c r="D64" s="90" t="n">
        <x:f>(B136+NPV($K$87/12,C136:Z136))/1000000</x:f>
        <x:v>-30.39656716095552</x:v>
      </x:c>
      <x:c r="E64" s="90" t="n">
        <x:f>D64-$D$57</x:f>
        <x:v>-61.872703534692974</x:v>
      </x:c>
      <x:c r="F64" s="91" t="n">
        <x:f>IF(C137&lt;0,1,IF(D137&lt;0,2,IF(E137&lt;0,3,IF(F137&lt;0,4,IF(G137&lt;0,5,IF(H137&lt;0,6,IF(I137&lt;0,7,IF(J137&lt;0,8,IF(K137&lt;0,9,IF(L137&lt;0,10,IF(M137&lt;0,11,IF(N137&lt;0,12,IF(O137&lt;0,13,IF(P137&lt;0,14,IF(Q137&lt;0,15,IF(R137&lt;0,16,IF(S137&lt;0,17,IF(T137&lt;0,18,IF(U137&lt;0,19,IF(V137&lt;0,20,IF(W137&lt;0,21,IF(X137&lt;0,22,IF(Y137&lt;0,23,IF(Z137&lt;0,24,"Không hết tiền trong 24 tháng"))))))))))))))))))))))))</x:f>
        <x:v>3</x:v>
      </x:c>
      <x:c r="G64" s="91" t="n">
        <x:f>IF(C138&gt;=0,1,IF(D138&gt;=0,2,IF(E138&gt;=0,3,IF(F138&gt;=0,4,IF(G138&gt;=0,5,IF(H138&gt;=0,6,IF(I138&gt;=0,7,IF(J138&gt;=0,8,IF(K138&gt;=0,9,IF(L138&gt;=0,10,IF(M138&gt;=0,11,IF(N138&gt;=0,12,IF(O138&gt;=0,13,IF(P138&gt;=0,14,IF(Q138&gt;=0,15,IF(R138&gt;=0,16,IF(S138&gt;=0,17,IF(T138&gt;=0,18,IF(U138&gt;=0,19,IF(V138&gt;=0,20,IF(W138&gt;=0,21,IF(X138&gt;=0,22,IF(Y138&gt;=0,23,IF(Z138&gt;=0,24,"Chưa hoàn vốn trong 24 tháng"))))))))))))))))))))))))</x:f>
        <x:v>24</x:v>
      </x:c>
      <x:c r="H64" s="92" t="n">
        <x:f>RANK(D64,$D$58:$D$64,1)</x:f>
        <x:v>3</x:v>
      </x:c>
    </x:row>
    <x:row r="66" ht="15" customHeight="1">
      <x:c r="A66" s="15" t="s">
        <x:v>378</x:v>
      </x:c>
      <x:c r="B66" s="95" t="str">
        <x:f>IF(MAX(D58:D64)-MIN(D58:D64)&lt;0.5,"Chưa đủ số liệu",INDEX(A58:A64,MATCH(MIN(D58:D64),D58:D64,0)))</x:f>
        <x:v>Doanh thu bình quân giảm</x:v>
      </x:c>
    </x:row>
    <x:row r="68" ht="31.5" customHeight="1">
      <x:c r="A68" s="96" t="s">
        <x:v>379</x:v>
      </x:c>
      <x:c r="B68" s="89" t="s">
        <x:v>370</x:v>
      </x:c>
      <x:c r="C68" s="89" t="s">
        <x:v>370</x:v>
      </x:c>
      <x:c r="D68" s="90" t="n">
        <x:f>(B142+NPV($K$88/12,C142:Z142))/1000000</x:f>
        <x:v>-30.209514111090808</x:v>
      </x:c>
      <x:c r="E68" s="90" t="n">
        <x:f>D68-$D$57</x:f>
        <x:v>-61.68565048482826</x:v>
      </x:c>
      <x:c r="F68" s="91" t="n">
        <x:f>IF(C143&lt;0,1,IF(D143&lt;0,2,IF(E143&lt;0,3,IF(F143&lt;0,4,IF(G143&lt;0,5,IF(H143&lt;0,6,IF(I143&lt;0,7,IF(J143&lt;0,8,IF(K143&lt;0,9,IF(L143&lt;0,10,IF(M143&lt;0,11,IF(N143&lt;0,12,IF(O143&lt;0,13,IF(P143&lt;0,14,IF(Q143&lt;0,15,IF(R143&lt;0,16,IF(S143&lt;0,17,IF(T143&lt;0,18,IF(U143&lt;0,19,IF(V143&lt;0,20,IF(W143&lt;0,21,IF(X143&lt;0,22,IF(Y143&lt;0,23,IF(Z143&lt;0,24,"Không hết tiền trong 24 tháng"))))))))))))))))))))))))</x:f>
        <x:v>4</x:v>
      </x:c>
      <x:c r="G68" s="91" t="str">
        <x:f>IF(C144&gt;=0,1,IF(D144&gt;=0,2,IF(E144&gt;=0,3,IF(F144&gt;=0,4,IF(G144&gt;=0,5,IF(H144&gt;=0,6,IF(I144&gt;=0,7,IF(J144&gt;=0,8,IF(K144&gt;=0,9,IF(L144&gt;=0,10,IF(M144&gt;=0,11,IF(N144&gt;=0,12,IF(O144&gt;=0,13,IF(P144&gt;=0,14,IF(Q144&gt;=0,15,IF(R144&gt;=0,16,IF(S144&gt;=0,17,IF(T144&gt;=0,18,IF(U144&gt;=0,19,IF(V144&gt;=0,20,IF(W144&gt;=0,21,IF(X144&gt;=0,22,IF(Y144&gt;=0,23,IF(Z144&gt;=0,24,"Chưa hoàn vốn trong 24 tháng"))))))))))))))))))))))))</x:f>
        <x:v>Chưa hoàn vốn trong 24 tháng</x:v>
      </x:c>
    </x:row>
    <x:row r="69" ht="15" customHeight="1">
      <x:c r="A69" s="57" t="s">
        <x:v>380</x:v>
      </x:c>
    </x:row>
    <x:row r="70" ht="15" customHeight="1">
      <x:c r="A70" s="83" t="s">
        <x:v>381</x:v>
      </x:c>
    </x:row>
    <x:row r="71" ht="45" customHeight="1">
      <x:c r="A71" s="24" t="s">
        <x:v>294</x:v>
      </x:c>
      <x:c r="B71" s="24" t="s">
        <x:v>382</x:v>
      </x:c>
      <x:c r="C71" s="24" t="s">
        <x:v>383</x:v>
      </x:c>
      <x:c r="D71" s="61" t="s">
        <x:v>384</x:v>
      </x:c>
      <x:c r="E71" s="7" t="s">
        <x:v>385</x:v>
      </x:c>
      <x:c r="F71" s="7"/>
      <x:c r="G71" s="7"/>
      <x:c r="H71" s="7"/>
    </x:row>
    <x:row r="72" ht="15" customHeight="1">
      <x:c r="A72" s="31" t="s">
        <x:v>386</x:v>
      </x:c>
      <x:c r="B72" s="33" t="n">
        <x:f>'3_Giả định'!C17</x:f>
        <x:v>238560</x:v>
      </x:c>
      <x:c r="C72" s="35" t="n">
        <x:f>IFERROR(B72*(1-$B$54*$D$57/($D$57-$D$58)),"")</x:f>
        <x:v>226952.26379229018</x:v>
      </x:c>
      <x:c r="D72" s="37" t="n">
        <x:f>IFERROR(C72/B72-1,"")</x:f>
        <x:v>-0.04865751260777085</x:v>
      </x:c>
      <x:c r="E72" s="6" t="s">
        <x:v>387</x:v>
      </x:c>
      <x:c r="F72" s="6"/>
      <x:c r="G72" s="6"/>
      <x:c r="H72" s="6"/>
    </x:row>
    <x:row r="73" ht="15" customHeight="1">
      <x:c r="A73" s="31" t="s">
        <x:v>87</x:v>
      </x:c>
      <x:c r="B73" s="97" t="n">
        <x:f>'4_Chỉ số mỗi khách'!C7</x:f>
        <x:v>0.7872173943661972</x:v>
      </x:c>
      <x:c r="C73" s="70" t="n">
        <x:f>IFERROR(1-('3_Giả định'!C18*(1+$B$54*$D$57/($D$57-$D$59)))/'3_Giả định'!C17,"")</x:f>
        <x:v>0.7385598817584264</x:v>
      </x:c>
      <x:c r="D73" s="97" t="n">
        <x:f>IFERROR(C73-B73,"")</x:f>
        <x:v>-0.04865751260777085</x:v>
      </x:c>
      <x:c r="E73" s="6" t="s">
        <x:v>388</x:v>
      </x:c>
      <x:c r="F73" s="6"/>
      <x:c r="G73" s="6"/>
      <x:c r="H73" s="6"/>
    </x:row>
    <x:row r="74" ht="15" customHeight="1">
      <x:c r="A74" s="31" t="s">
        <x:v>389</x:v>
      </x:c>
      <x:c r="B74" s="33" t="n">
        <x:f>'3_Giả định'!C10</x:f>
        <x:v>312840</x:v>
      </x:c>
      <x:c r="C74" s="35" t="n">
        <x:f>IFERROR(B74*(1+$B$54*$D$57/($D$57-$D$61)),"")</x:f>
        <x:v>397534.6419942177</x:v>
      </x:c>
      <x:c r="D74" s="37" t="n">
        <x:f>IFERROR(C74/B74-1,"")</x:f>
        <x:v>0.2707283019889326</x:v>
      </x:c>
      <x:c r="E74" s="5" t="str">
        <x:f>IFERROR("Trên mức này là 'nguy'. Tương ứng LTV ÷ CAC = "&amp;ROUND('4_Chỉ số mỗi khách'!C9/C74,1)&amp;", không phải 3","")</x:f>
        <x:v>Trên mức này là 'nguy'. Tương ứng LTV ÷ CAC = 9.4, không phải 3</x:v>
      </x:c>
      <x:c r="F74" s="5"/>
      <x:c r="G74" s="5"/>
      <x:c r="H74" s="5"/>
    </x:row>
    <x:row r="75" ht="15" customHeight="1">
      <x:c r="A75" s="31" t="s">
        <x:v>390</x:v>
      </x:c>
      <x:c r="B75" s="98" t="n">
        <x:f>'3_Giả định'!C7</x:f>
        <x:v>10</x:v>
      </x:c>
      <x:c r="C75" s="99" t="n">
        <x:f>IFERROR(B75*(1-$B$54*$D$57/($D$57-$D$62)),"")</x:f>
        <x:v>9.199039032948084</x:v>
      </x:c>
      <x:c r="D75" s="37" t="n">
        <x:f>IFERROR(C75/B75-1,"")</x:f>
        <x:v>-0.08009609670519158</x:v>
      </x:c>
      <x:c r="E75" s="6" t="s">
        <x:v>391</x:v>
      </x:c>
      <x:c r="F75" s="6"/>
      <x:c r="G75" s="6"/>
      <x:c r="H75" s="6"/>
    </x:row>
    <x:row r="76" ht="15" customHeight="1">
      <x:c r="A76" s="31" t="s">
        <x:v>392</x:v>
      </x:c>
      <x:c r="B76" s="33" t="n">
        <x:f>'3_Giả định'!C11</x:f>
        <x:v>15000000</x:v>
      </x:c>
      <x:c r="C76" s="35" t="n">
        <x:f>IFERROR(B76*(1+$B$54*$D$57/($D$57-$D$64)),"")</x:f>
        <x:v>16526172.34623124</x:v>
      </x:c>
      <x:c r="D76" s="37" t="n">
        <x:f>IFERROR(C76/B76-1,"")</x:f>
        <x:v>0.10174482308208277</x:v>
      </x:c>
      <x:c r="E76" s="6" t="s">
        <x:v>393</x:v>
      </x:c>
      <x:c r="F76" s="6"/>
      <x:c r="G76" s="6"/>
      <x:c r="H76" s="6"/>
    </x:row>
    <x:row r="77" ht="15" customHeight="1">
      <x:c r="A77" s="31" t="s">
        <x:v>394</x:v>
      </x:c>
      <x:c r="B77" s="97" t="n">
        <x:f>'2_Định giá'!B27</x:f>
        <x:v>0</x:v>
      </x:c>
      <x:c r="C77" s="70" t="n">
        <x:f>IFERROR(1-C72/('2_Định giá'!D17*'3_Giả định'!C5),"")</x:f>
        <x:v>0.04865751260777085</x:v>
      </x:c>
      <x:c r="D77" s="97" t="n">
        <x:f>IFERROR(C77-B77,"")</x:f>
        <x:v>0.04865751260777085</x:v>
      </x:c>
      <x:c r="E77" s="6" t="s">
        <x:v>395</x:v>
      </x:c>
      <x:c r="F77" s="6"/>
      <x:c r="G77" s="6"/>
      <x:c r="H77" s="6"/>
    </x:row>
    <x:row r="78" ht="15" customHeight="1">
      <x:c r="A78" s="100" t="s">
        <x:v>396</x:v>
      </x:c>
    </x:row>
    <x:row r="79" ht="15" hidden="1" customHeight="1">
      <x:c r="A79" s="100" t="s">
        <x:v>397</x:v>
      </x:c>
      <x:c r="B79" s="100" t="s">
        <x:v>398</x:v>
      </x:c>
      <x:c r="C79" s="100" t="s">
        <x:v>399</x:v>
      </x:c>
      <x:c r="D79" s="100" t="s">
        <x:v>400</x:v>
      </x:c>
      <x:c r="E79" s="100" t="s">
        <x:v>401</x:v>
      </x:c>
      <x:c r="F79" s="100" t="s">
        <x:v>402</x:v>
      </x:c>
      <x:c r="G79" s="100" t="s">
        <x:v>403</x:v>
      </x:c>
      <x:c r="H79" s="100" t="s">
        <x:v>339</x:v>
      </x:c>
      <x:c r="I79" s="100" t="s">
        <x:v>404</x:v>
      </x:c>
      <x:c r="J79" s="100" t="s">
        <x:v>405</x:v>
      </x:c>
      <x:c r="K79" s="100" t="s">
        <x:v>406</x:v>
      </x:c>
    </x:row>
    <x:row r="80" ht="15" hidden="1" customHeight="1">
      <x:c r="A80" s="100" t="s">
        <x:v>407</x:v>
      </x:c>
      <x:c r="B80" s="101" t="n">
        <x:f>'3_Giả định'!$C$17</x:f>
        <x:v>238560</x:v>
      </x:c>
      <x:c r="C80" s="101" t="n">
        <x:f>'3_Giả định'!$C$18</x:f>
        <x:v>50761.4184</x:v>
      </x:c>
      <x:c r="D80" s="102" t="n">
        <x:f>'3_Giả định'!$C$7</x:f>
        <x:v>10</x:v>
      </x:c>
      <x:c r="E80" s="103" t="n">
        <x:f>'3_Giả định'!$C$8</x:f>
        <x:v>0.05</x:v>
      </x:c>
      <x:c r="F80" s="103" t="n">
        <x:f>'3_Giả định'!$C$9</x:f>
        <x:v>0.05</x:v>
      </x:c>
      <x:c r="G80" s="101" t="n">
        <x:f>'3_Giả định'!$C$10</x:f>
        <x:v>312840</x:v>
      </x:c>
      <x:c r="H80" s="101" t="n">
        <x:f>'3_Giả định'!$C$11</x:f>
        <x:v>15000000</x:v>
      </x:c>
      <x:c r="I80" s="101" t="n">
        <x:f>'3_Giả định'!$C$12</x:f>
        <x:v>52140000</x:v>
      </x:c>
      <x:c r="J80" s="101" t="n">
        <x:f>'3_Giả định'!$C$13</x:f>
        <x:v>100000000</x:v>
      </x:c>
      <x:c r="K80" s="103" t="n">
        <x:f>'3_Giả định'!$C$14</x:f>
        <x:v>0.15</x:v>
      </x:c>
    </x:row>
    <x:row r="81" ht="15" hidden="1" customHeight="1">
      <x:c r="A81" s="100" t="s">
        <x:v>408</x:v>
      </x:c>
      <x:c r="B81" s="101" t="n">
        <x:f>'3_Giả định'!$C$17*(1-$B$54)</x:f>
        <x:v>190848</x:v>
      </x:c>
      <x:c r="C81" s="101" t="n">
        <x:f>'3_Giả định'!$C$18</x:f>
        <x:v>50761.4184</x:v>
      </x:c>
      <x:c r="D81" s="102" t="n">
        <x:f>'3_Giả định'!$C$7</x:f>
        <x:v>10</x:v>
      </x:c>
      <x:c r="E81" s="103" t="n">
        <x:f>'3_Giả định'!$C$8</x:f>
        <x:v>0.05</x:v>
      </x:c>
      <x:c r="F81" s="103" t="n">
        <x:f>'3_Giả định'!$C$9</x:f>
        <x:v>0.05</x:v>
      </x:c>
      <x:c r="G81" s="101" t="n">
        <x:f>'3_Giả định'!$C$10</x:f>
        <x:v>312840</x:v>
      </x:c>
      <x:c r="H81" s="101" t="n">
        <x:f>'3_Giả định'!$C$11</x:f>
        <x:v>15000000</x:v>
      </x:c>
      <x:c r="I81" s="101" t="n">
        <x:f>'3_Giả định'!$C$12</x:f>
        <x:v>52140000</x:v>
      </x:c>
      <x:c r="J81" s="101" t="n">
        <x:f>'3_Giả định'!$C$13</x:f>
        <x:v>100000000</x:v>
      </x:c>
      <x:c r="K81" s="103" t="n">
        <x:f>'3_Giả định'!$C$14</x:f>
        <x:v>0.15</x:v>
      </x:c>
    </x:row>
    <x:row r="82" ht="15" hidden="1" customHeight="1">
      <x:c r="A82" s="100" t="s">
        <x:v>409</x:v>
      </x:c>
      <x:c r="B82" s="101" t="n">
        <x:f>'3_Giả định'!$C$17</x:f>
        <x:v>238560</x:v>
      </x:c>
      <x:c r="C82" s="101" t="n">
        <x:f>'3_Giả định'!$C$18*(1+$B$54)</x:f>
        <x:v>60913.70208</x:v>
      </x:c>
      <x:c r="D82" s="102" t="n">
        <x:f>'3_Giả định'!$C$7</x:f>
        <x:v>10</x:v>
      </x:c>
      <x:c r="E82" s="103" t="n">
        <x:f>'3_Giả định'!$C$8</x:f>
        <x:v>0.05</x:v>
      </x:c>
      <x:c r="F82" s="103" t="n">
        <x:f>'3_Giả định'!$C$9</x:f>
        <x:v>0.05</x:v>
      </x:c>
      <x:c r="G82" s="101" t="n">
        <x:f>'3_Giả định'!$C$10</x:f>
        <x:v>312840</x:v>
      </x:c>
      <x:c r="H82" s="101" t="n">
        <x:f>'3_Giả định'!$C$11</x:f>
        <x:v>15000000</x:v>
      </x:c>
      <x:c r="I82" s="101" t="n">
        <x:f>'3_Giả định'!$C$12</x:f>
        <x:v>52140000</x:v>
      </x:c>
      <x:c r="J82" s="101" t="n">
        <x:f>'3_Giả định'!$C$13</x:f>
        <x:v>100000000</x:v>
      </x:c>
      <x:c r="K82" s="103" t="n">
        <x:f>'3_Giả định'!$C$14</x:f>
        <x:v>0.15</x:v>
      </x:c>
    </x:row>
    <x:row r="83" ht="15" hidden="1" customHeight="1">
      <x:c r="A83" s="100" t="s">
        <x:v>410</x:v>
      </x:c>
      <x:c r="B83" s="101" t="n">
        <x:f>'3_Giả định'!$C$17</x:f>
        <x:v>238560</x:v>
      </x:c>
      <x:c r="C83" s="101" t="n">
        <x:f>'3_Giả định'!$C$18</x:f>
        <x:v>50761.4184</x:v>
      </x:c>
      <x:c r="D83" s="102" t="n">
        <x:f>'3_Giả định'!$C$7</x:f>
        <x:v>10</x:v>
      </x:c>
      <x:c r="E83" s="103" t="n">
        <x:f>'3_Giả định'!$C$8</x:f>
        <x:v>0.05</x:v>
      </x:c>
      <x:c r="F83" s="103" t="n">
        <x:f>'3_Giả định'!$C$9*(1+$B$54)</x:f>
        <x:v>0.06</x:v>
      </x:c>
      <x:c r="G83" s="101" t="n">
        <x:f>'3_Giả định'!$C$10</x:f>
        <x:v>312840</x:v>
      </x:c>
      <x:c r="H83" s="101" t="n">
        <x:f>'3_Giả định'!$C$11</x:f>
        <x:v>15000000</x:v>
      </x:c>
      <x:c r="I83" s="101" t="n">
        <x:f>'3_Giả định'!$C$12</x:f>
        <x:v>52140000</x:v>
      </x:c>
      <x:c r="J83" s="101" t="n">
        <x:f>'3_Giả định'!$C$13</x:f>
        <x:v>100000000</x:v>
      </x:c>
      <x:c r="K83" s="103" t="n">
        <x:f>'3_Giả định'!$C$14</x:f>
        <x:v>0.15</x:v>
      </x:c>
    </x:row>
    <x:row r="84" ht="15" hidden="1" customHeight="1">
      <x:c r="A84" s="100" t="s">
        <x:v>411</x:v>
      </x:c>
      <x:c r="B84" s="101" t="n">
        <x:f>'3_Giả định'!$C$17</x:f>
        <x:v>238560</x:v>
      </x:c>
      <x:c r="C84" s="101" t="n">
        <x:f>'3_Giả định'!$C$18</x:f>
        <x:v>50761.4184</x:v>
      </x:c>
      <x:c r="D84" s="102" t="n">
        <x:f>'3_Giả định'!$C$7</x:f>
        <x:v>10</x:v>
      </x:c>
      <x:c r="E84" s="103" t="n">
        <x:f>'3_Giả định'!$C$8</x:f>
        <x:v>0.05</x:v>
      </x:c>
      <x:c r="F84" s="103" t="n">
        <x:f>'3_Giả định'!$C$9</x:f>
        <x:v>0.05</x:v>
      </x:c>
      <x:c r="G84" s="101" t="n">
        <x:f>'3_Giả định'!$C$10*(1+$B$54)</x:f>
        <x:v>375408</x:v>
      </x:c>
      <x:c r="H84" s="101" t="n">
        <x:f>'3_Giả định'!$C$11</x:f>
        <x:v>15000000</x:v>
      </x:c>
      <x:c r="I84" s="101" t="n">
        <x:f>'3_Giả định'!$C$12</x:f>
        <x:v>52140000</x:v>
      </x:c>
      <x:c r="J84" s="101" t="n">
        <x:f>'3_Giả định'!$C$13</x:f>
        <x:v>100000000</x:v>
      </x:c>
      <x:c r="K84" s="103" t="n">
        <x:f>'3_Giả định'!$C$14</x:f>
        <x:v>0.15</x:v>
      </x:c>
    </x:row>
    <x:row r="85" ht="15" hidden="1" customHeight="1">
      <x:c r="A85" s="100" t="s">
        <x:v>412</x:v>
      </x:c>
      <x:c r="B85" s="101" t="n">
        <x:f>'3_Giả định'!$C$17</x:f>
        <x:v>238560</x:v>
      </x:c>
      <x:c r="C85" s="101" t="n">
        <x:f>'3_Giả định'!$C$18</x:f>
        <x:v>50761.4184</x:v>
      </x:c>
      <x:c r="D85" s="102" t="n">
        <x:f>'3_Giả định'!$C$7*(1-$B$54)</x:f>
        <x:v>8</x:v>
      </x:c>
      <x:c r="E85" s="103" t="n">
        <x:f>'3_Giả định'!$C$8</x:f>
        <x:v>0.05</x:v>
      </x:c>
      <x:c r="F85" s="103" t="n">
        <x:f>'3_Giả định'!$C$9</x:f>
        <x:v>0.05</x:v>
      </x:c>
      <x:c r="G85" s="101" t="n">
        <x:f>'3_Giả định'!$C$10</x:f>
        <x:v>312840</x:v>
      </x:c>
      <x:c r="H85" s="101" t="n">
        <x:f>'3_Giả định'!$C$11</x:f>
        <x:v>15000000</x:v>
      </x:c>
      <x:c r="I85" s="101" t="n">
        <x:f>'3_Giả định'!$C$12</x:f>
        <x:v>52140000</x:v>
      </x:c>
      <x:c r="J85" s="101" t="n">
        <x:f>'3_Giả định'!$C$13</x:f>
        <x:v>100000000</x:v>
      </x:c>
      <x:c r="K85" s="103" t="n">
        <x:f>'3_Giả định'!$C$14</x:f>
        <x:v>0.15</x:v>
      </x:c>
    </x:row>
    <x:row r="86" ht="15" hidden="1" customHeight="1">
      <x:c r="A86" s="100" t="s">
        <x:v>413</x:v>
      </x:c>
      <x:c r="B86" s="101" t="n">
        <x:f>'3_Giả định'!$C$17</x:f>
        <x:v>238560</x:v>
      </x:c>
      <x:c r="C86" s="101" t="n">
        <x:f>'3_Giả định'!$C$18</x:f>
        <x:v>50761.4184</x:v>
      </x:c>
      <x:c r="D86" s="102" t="n">
        <x:f>'3_Giả định'!$C$7</x:f>
        <x:v>10</x:v>
      </x:c>
      <x:c r="E86" s="103" t="n">
        <x:f>'3_Giả định'!$C$8*(1-$B$54)</x:f>
        <x:v>0.04000000000000001</x:v>
      </x:c>
      <x:c r="F86" s="103" t="n">
        <x:f>'3_Giả định'!$C$9</x:f>
        <x:v>0.05</x:v>
      </x:c>
      <x:c r="G86" s="101" t="n">
        <x:f>'3_Giả định'!$C$10</x:f>
        <x:v>312840</x:v>
      </x:c>
      <x:c r="H86" s="101" t="n">
        <x:f>'3_Giả định'!$C$11</x:f>
        <x:v>15000000</x:v>
      </x:c>
      <x:c r="I86" s="101" t="n">
        <x:f>'3_Giả định'!$C$12</x:f>
        <x:v>52140000</x:v>
      </x:c>
      <x:c r="J86" s="101" t="n">
        <x:f>'3_Giả định'!$C$13</x:f>
        <x:v>100000000</x:v>
      </x:c>
      <x:c r="K86" s="103" t="n">
        <x:f>'3_Giả định'!$C$14</x:f>
        <x:v>0.15</x:v>
      </x:c>
    </x:row>
    <x:row r="87" ht="15" hidden="1" customHeight="1">
      <x:c r="A87" s="100" t="s">
        <x:v>414</x:v>
      </x:c>
      <x:c r="B87" s="101" t="n">
        <x:f>'3_Giả định'!$C$17</x:f>
        <x:v>238560</x:v>
      </x:c>
      <x:c r="C87" s="101" t="n">
        <x:f>'3_Giả định'!$C$18</x:f>
        <x:v>50761.4184</x:v>
      </x:c>
      <x:c r="D87" s="102" t="n">
        <x:f>'3_Giả định'!$C$7</x:f>
        <x:v>10</x:v>
      </x:c>
      <x:c r="E87" s="103" t="n">
        <x:f>'3_Giả định'!$C$8</x:f>
        <x:v>0.05</x:v>
      </x:c>
      <x:c r="F87" s="103" t="n">
        <x:f>'3_Giả định'!$C$9</x:f>
        <x:v>0.05</x:v>
      </x:c>
      <x:c r="G87" s="101" t="n">
        <x:f>'3_Giả định'!$C$10</x:f>
        <x:v>312840</x:v>
      </x:c>
      <x:c r="H87" s="101" t="n">
        <x:f>'3_Giả định'!$C$11*(1+$B$54)</x:f>
        <x:v>18000000</x:v>
      </x:c>
      <x:c r="I87" s="101" t="n">
        <x:f>'3_Giả định'!$C$12</x:f>
        <x:v>52140000</x:v>
      </x:c>
      <x:c r="J87" s="101" t="n">
        <x:f>'3_Giả định'!$C$13</x:f>
        <x:v>100000000</x:v>
      </x:c>
      <x:c r="K87" s="103" t="n">
        <x:f>'3_Giả định'!$C$14</x:f>
        <x:v>0.15</x:v>
      </x:c>
    </x:row>
    <x:row r="88" ht="15" hidden="1" customHeight="1">
      <x:c r="A88" s="100" t="s">
        <x:v>415</x:v>
      </x:c>
      <x:c r="B88" s="101" t="n">
        <x:f>'2_Định giá'!$D$15*'3_Giả định'!$C$5*(1-'2_Định giá'!$B$27)</x:f>
        <x:v>208560</x:v>
      </x:c>
      <x:c r="C88" s="101" t="n">
        <x:f>'2_Định giá'!$E$15*'3_Giả định'!$C$6</x:f>
        <x:v>43509.7872</x:v>
      </x:c>
      <x:c r="D88" s="102" t="n">
        <x:f>'3_Giả định'!$C$7</x:f>
        <x:v>10</x:v>
      </x:c>
      <x:c r="E88" s="103" t="n">
        <x:f>'3_Giả định'!$C$8</x:f>
        <x:v>0.05</x:v>
      </x:c>
      <x:c r="F88" s="103" t="n">
        <x:f>'3_Giả định'!$C$9</x:f>
        <x:v>0.05</x:v>
      </x:c>
      <x:c r="G88" s="101" t="n">
        <x:f>'3_Giả định'!$C$10</x:f>
        <x:v>312840</x:v>
      </x:c>
      <x:c r="H88" s="101" t="n">
        <x:f>'3_Giả định'!$C$11</x:f>
        <x:v>15000000</x:v>
      </x:c>
      <x:c r="I88" s="101" t="n">
        <x:f>'3_Giả định'!$C$12</x:f>
        <x:v>52140000</x:v>
      </x:c>
      <x:c r="J88" s="101" t="n">
        <x:f>'3_Giả định'!$C$13</x:f>
        <x:v>100000000</x:v>
      </x:c>
      <x:c r="K88" s="103" t="n">
        <x:f>'3_Giả định'!$C$14</x:f>
        <x:v>0.15</x:v>
      </x:c>
    </x:row>
    <x:row r="89" ht="15" hidden="1" customHeight="1"/>
    <x:row r="90" ht="15" hidden="1" customHeight="1"/>
    <x:row r="91" ht="15" hidden="1" customHeight="1"/>
    <x:row r="92" ht="15" hidden="1" customHeight="1">
      <x:c r="A92" s="100" t="s">
        <x:v>416</x:v>
      </x:c>
      <x:c r="C92" s="102" t="n">
        <x:f>$D$80*(1+$E$80)^0</x:f>
        <x:v>10</x:v>
      </x:c>
      <x:c r="D92" s="102" t="n">
        <x:f>$D$80*(1+$E$80)^1</x:f>
        <x:v>10.5</x:v>
      </x:c>
      <x:c r="E92" s="102" t="n">
        <x:f>$D$80*(1+$E$80)^2</x:f>
        <x:v>11.025</x:v>
      </x:c>
      <x:c r="F92" s="102" t="n">
        <x:f>$D$80*(1+$E$80)^3</x:f>
        <x:v>11.576250000000002</x:v>
      </x:c>
      <x:c r="G92" s="102" t="n">
        <x:f>$D$80*(1+$E$80)^4</x:f>
        <x:v>12.155062500000003</x:v>
      </x:c>
      <x:c r="H92" s="102" t="n">
        <x:f>$D$80*(1+$E$80)^5</x:f>
        <x:v>12.762815625000004</x:v>
      </x:c>
      <x:c r="I92" s="102" t="n">
        <x:f>$D$80*(1+$E$80)^6</x:f>
        <x:v>13.400956406250003</x:v>
      </x:c>
      <x:c r="J92" s="102" t="n">
        <x:f>$D$80*(1+$E$80)^7</x:f>
        <x:v>14.071004226562504</x:v>
      </x:c>
      <x:c r="K92" s="102" t="n">
        <x:f>$D$80*(1+$E$80)^8</x:f>
        <x:v>14.77455443789063</x:v>
      </x:c>
      <x:c r="L92" s="102" t="n">
        <x:f>$D$80*(1+$E$80)^9</x:f>
        <x:v>15.513282159785163</x:v>
      </x:c>
      <x:c r="M92" s="102" t="n">
        <x:f>$D$80*(1+$E$80)^10</x:f>
        <x:v>16.28894626777442</x:v>
      </x:c>
      <x:c r="N92" s="102" t="n">
        <x:f>$D$80*(1+$E$80)^11</x:f>
        <x:v>17.103393581163143</x:v>
      </x:c>
      <x:c r="O92" s="102" t="n">
        <x:f>$D$80*(1+$E$80)^12</x:f>
        <x:v>17.9585632602213</x:v>
      </x:c>
      <x:c r="P92" s="102" t="n">
        <x:f>$D$80*(1+$E$80)^13</x:f>
        <x:v>18.856491423232367</x:v>
      </x:c>
      <x:c r="Q92" s="102" t="n">
        <x:f>$D$80*(1+$E$80)^14</x:f>
        <x:v>19.799315994393986</x:v>
      </x:c>
      <x:c r="R92" s="102" t="n">
        <x:f>$D$80*(1+$E$80)^15</x:f>
        <x:v>20.789281794113688</x:v>
      </x:c>
      <x:c r="S92" s="102" t="n">
        <x:f>$D$80*(1+$E$80)^16</x:f>
        <x:v>21.82874588381937</x:v>
      </x:c>
      <x:c r="T92" s="102" t="n">
        <x:f>$D$80*(1+$E$80)^17</x:f>
        <x:v>22.92018317801034</x:v>
      </x:c>
      <x:c r="U92" s="102" t="n">
        <x:f>$D$80*(1+$E$80)^18</x:f>
        <x:v>24.066192336910856</x:v>
      </x:c>
      <x:c r="V92" s="102" t="n">
        <x:f>$D$80*(1+$E$80)^19</x:f>
        <x:v>25.269501953756404</x:v>
      </x:c>
      <x:c r="W92" s="102" t="n">
        <x:f>$D$80*(1+$E$80)^20</x:f>
        <x:v>26.53297705144422</x:v>
      </x:c>
      <x:c r="X92" s="102" t="n">
        <x:f>$D$80*(1+$E$80)^21</x:f>
        <x:v>27.859625904016436</x:v>
      </x:c>
      <x:c r="Y92" s="102" t="n">
        <x:f>$D$80*(1+$E$80)^22</x:f>
        <x:v>29.25260719921726</x:v>
      </x:c>
      <x:c r="Z92" s="102" t="n">
        <x:f>$D$80*(1+$E$80)^23</x:f>
        <x:v>30.715237559178124</x:v>
      </x:c>
    </x:row>
    <x:row r="93" ht="15" hidden="1" customHeight="1">
      <x:c r="A93" s="100" t="s">
        <x:v>417</x:v>
      </x:c>
      <x:c r="B93" s="100">
        <x:v>0</x:v>
      </x:c>
      <x:c r="C93" s="102" t="n">
        <x:f t="shared" ref="C93" si="14">B93*(1-$F$80)+C92</x:f>
        <x:v>10</x:v>
      </x:c>
      <x:c r="D93" s="102" t="n">
        <x:f>C93*(1-$F$80)+D92</x:f>
        <x:v>20</x:v>
      </x:c>
      <x:c r="E93" s="102" t="n">
        <x:f>D93*(1-$F$80)+E92</x:f>
        <x:v>30.025</x:v>
      </x:c>
      <x:c r="F93" s="102" t="n">
        <x:f>E93*(1-$F$80)+F92</x:f>
        <x:v>40.099999999999994</x:v>
      </x:c>
      <x:c r="G93" s="102" t="n">
        <x:f>F93*(1-$F$80)+G92</x:f>
        <x:v>50.2500625</x:v>
      </x:c>
      <x:c r="H93" s="102" t="n">
        <x:f>G93*(1-$F$80)+H92</x:f>
        <x:v>60.500375</x:v>
      </x:c>
      <x:c r="I93" s="102" t="n">
        <x:f>H93*(1-$F$80)+I92</x:f>
        <x:v>70.87631265625001</x:v>
      </x:c>
      <x:c r="J93" s="102" t="n">
        <x:f>I93*(1-$F$80)+J92</x:f>
        <x:v>81.40350125</x:v>
      </x:c>
      <x:c r="K93" s="102" t="n">
        <x:f>J93*(1-$F$80)+K92</x:f>
        <x:v>92.10788062539064</x:v>
      </x:c>
      <x:c r="L93" s="102" t="n">
        <x:f>K93*(1-$F$80)+L92</x:f>
        <x:v>103.01576875390626</x:v>
      </x:c>
      <x:c r="M93" s="102" t="n">
        <x:f>L93*(1-$F$80)+M92</x:f>
        <x:v>114.15392658398537</x:v>
      </x:c>
      <x:c r="N93" s="102" t="n">
        <x:f>M93*(1-$F$80)+N92</x:f>
        <x:v>125.54962383594923</x:v>
      </x:c>
      <x:c r="O93" s="102" t="n">
        <x:f>N93*(1-$F$80)+O92</x:f>
        <x:v>137.23070590437308</x:v>
      </x:c>
      <x:c r="P93" s="102" t="n">
        <x:f>O93*(1-$F$80)+P92</x:f>
        <x:v>149.2256620323868</x:v>
      </x:c>
      <x:c r="Q93" s="102" t="n">
        <x:f>P93*(1-$F$80)+Q92</x:f>
        <x:v>161.56369492516143</x:v>
      </x:c>
      <x:c r="R93" s="102" t="n">
        <x:f>Q93*(1-$F$80)+R92</x:f>
        <x:v>174.27479197301705</x:v>
      </x:c>
      <x:c r="S93" s="102" t="n">
        <x:f>R93*(1-$F$80)+S92</x:f>
        <x:v>187.38979825818558</x:v>
      </x:c>
      <x:c r="T93" s="102" t="n">
        <x:f>S93*(1-$F$80)+T92</x:f>
        <x:v>200.94049152328665</x:v>
      </x:c>
      <x:c r="U93" s="102" t="n">
        <x:f>T93*(1-$F$80)+U92</x:f>
        <x:v>214.95965928403317</x:v>
      </x:c>
      <x:c r="V93" s="102" t="n">
        <x:f>U93*(1-$F$80)+V92</x:f>
        <x:v>229.4811782735879</x:v>
      </x:c>
      <x:c r="W93" s="102" t="n">
        <x:f>V93*(1-$F$80)+W92</x:f>
        <x:v>244.5400964113527</x:v>
      </x:c>
      <x:c r="X93" s="102" t="n">
        <x:f>W93*(1-$F$80)+X92</x:f>
        <x:v>260.1727174948015</x:v>
      </x:c>
      <x:c r="Y93" s="102" t="n">
        <x:f>X93*(1-$F$80)+Y92</x:f>
        <x:v>276.41668881927865</x:v>
      </x:c>
      <x:c r="Z93" s="102" t="n">
        <x:f>Y93*(1-$F$80)+Z92</x:f>
        <x:v>293.31109193749285</x:v>
      </x:c>
    </x:row>
    <x:row r="94" ht="15" hidden="1" customHeight="1">
      <x:c r="A94" s="100" t="s">
        <x:v>418</x:v>
      </x:c>
      <x:c r="B94" s="101" t="n">
        <x:f>-$I$80</x:f>
        <x:v>-52140000</x:v>
      </x:c>
      <x:c r="C94" s="101" t="n">
        <x:f t="shared" ref="C94" si="15">C93*($B$80-$C$80)-C92*$G$80-$H$80</x:f>
        <x:v>-16250414.184</x:v>
      </x:c>
      <x:c r="D94" s="101" t="n">
        <x:f>D93*($B$80-$C$80)-D92*$G$80-$H$80</x:f>
        <x:v>-14528848.368</x:v>
      </x:c>
      <x:c r="E94" s="101" t="n">
        <x:f>E93*($B$80-$C$80)-E92*$G$80-$H$80</x:f>
        <x:v>-12810408.58746</x:v>
      </x:c>
      <x:c r="F94" s="101" t="n">
        <x:f>F93*($B$80-$C$80)-F92*$G$80-$H$80</x:f>
        <x:v>-11090790.927840002</x:v>
      </x:c>
      <x:c r="G94" s="101" t="n">
        <x:f>G93*($B$80-$C$80)-G92*$G$80-$H$80</x:f>
        <x:v>-9365699.28968865</x:v>
      </x:c>
      <x:c r="H94" s="101" t="n">
        <x:f>H93*($B$80-$C$80)-H92*$G$80-$H$80</x:f>
        <x:v>-7630834.628856901</x:v>
      </x:c>
      <x:c r="I94" s="101" t="n">
        <x:f>I93*($B$80-$C$80)-I92*$G$80-$H$80</x:f>
        <x:v>-5881884.216249371</x:v>
      </x:c>
      <x:c r="J94" s="101" t="n">
        <x:f>J93*($B$80-$C$80)-J92*$G$80-$H$80</x:f>
        <x:v>-4114510.890213985</x:v>
      </x:c>
      <x:c r="K94" s="101" t="n">
        <x:f>K93*($B$80-$C$80)-K92*$G$80-$H$80</x:f>
        <x:v>-2324342.2747192197</x:v>
      </x:c>
      <x:c r="L94" s="101" t="n">
        <x:f>L93*($B$80-$C$80)-L92*$G$80-$H$80</x:f>
        <x:v>-506959.9364499934</x:v>
      </x:c>
      <x:c r="M94" s="101" t="n">
        <x:f>M93*($B$80-$C$80)-M92*$G$80-$H$80</x:f>
        <x:v>1342111.546132438</x:v>
      </x:c>
      <x:c r="N94" s="101" t="n">
        <x:f>N93*($B$80-$C$80)-N92*$G$80-$H$80</x:f>
        <x:v>3227415.6288737394</x:v>
      </x:c>
      <x:c r="O94" s="101" t="n">
        <x:f>O93*($B$80-$C$80)-O92*$G$80-$H$80</x:f>
        <x:v>5153574.990480378</x:v>
      </x:c>
      <x:c r="P94" s="101" t="n">
        <x:f>P93*($B$80-$C$80)-P92*$G$80-$H$80</x:f>
        <x:v>7125302.891159199</x:v>
      </x:c>
      <x:c r="Q94" s="101" t="n">
        <x:f>Q93*($B$80-$C$80)-Q92*$G$80-$H$80</x:f>
        <x:v>9147414.729314223</x:v>
      </x:c>
      <x:c r="R94" s="101" t="n">
        <x:f>R93*($B$80-$C$80)-R92*$G$80-$H$80</x:f>
        <x:v>11224839.824697144</x:v>
      </x:c>
      <x:c r="S94" s="101" t="n">
        <x:f>S93*($B$80-$C$80)-S92*$G$80-$H$80</x:f>
        <x:v>13362633.45690335</x:v>
      </x:c>
      <x:c r="T94" s="101" t="n">
        <x:f>T93*($B$80-$C$80)-T92*$G$80-$H$80</x:f>
        <x:v>15565989.188671302</x:v>
      </x:c>
      <x:c r="U94" s="101" t="n">
        <x:f>U93*($B$80-$C$80)-U92*$G$80-$H$80</x:f>
        <x:v>17840251.50408151</x:v>
      </x:c>
      <x:c r="V94" s="101" t="n">
        <x:f>V93*($B$80-$C$80)-V92*$G$80-$H$80</x:f>
        <x:v>20190928.792463392</x:v>
      </x:c>
      <x:c r="W94" s="101" t="n">
        <x:f>W93*($B$80-$C$80)-W92*$G$80-$H$80</x:f>
        <x:v>22623706.709605478</x:v>
      </x:c>
      <x:c r="X94" s="101" t="n">
        <x:f>X93*($B$80-$C$80)-X92*$G$80-$H$80</x:f>
        <x:v>25144461.948728725</x:v>
      </x:c>
      <x:c r="Y94" s="101" t="n">
        <x:f>Y93*($B$80-$C$80)-Y92*$G$80-$H$80</x:f>
        <x:v>27759276.454625987</x:v>
      </x:c>
      <x:c r="Z94" s="101" t="n">
        <x:f>Z93*($B$80-$C$80)-Z92*$G$80-$H$80</x:f>
        <x:v>30474452.11539507</x:v>
      </x:c>
    </x:row>
    <x:row r="95" ht="15" hidden="1" customHeight="1">
      <x:c r="A95" s="100" t="s">
        <x:v>419</x:v>
      </x:c>
      <x:c r="B95" s="101" t="n">
        <x:f>$J$80+B94</x:f>
        <x:v>47860000</x:v>
      </x:c>
      <x:c r="C95" s="101" t="n">
        <x:f t="shared" ref="C95" si="16">B95+C94</x:f>
        <x:v>31609585.816</x:v>
      </x:c>
      <x:c r="D95" s="101" t="n">
        <x:f>C95+D94</x:f>
        <x:v>17080737.448</x:v>
      </x:c>
      <x:c r="E95" s="101" t="n">
        <x:f>D95+E94</x:f>
        <x:v>4270328.860539999</x:v>
      </x:c>
      <x:c r="F95" s="101" t="n">
        <x:f>E95+F94</x:f>
        <x:v>-6820462.067300003</x:v>
      </x:c>
      <x:c r="G95" s="101" t="n">
        <x:f>F95+G94</x:f>
        <x:v>-16186161.356988654</x:v>
      </x:c>
      <x:c r="H95" s="101" t="n">
        <x:f>G95+H94</x:f>
        <x:v>-23816995.985845555</x:v>
      </x:c>
      <x:c r="I95" s="101" t="n">
        <x:f>H95+I94</x:f>
        <x:v>-29698880.202094927</x:v>
      </x:c>
      <x:c r="J95" s="101" t="n">
        <x:f>I95+J94</x:f>
        <x:v>-33813391.09230891</x:v>
      </x:c>
      <x:c r="K95" s="101" t="n">
        <x:f>J95+K94</x:f>
        <x:v>-36137733.36702813</x:v>
      </x:c>
      <x:c r="L95" s="101" t="n">
        <x:f>K95+L94</x:f>
        <x:v>-36644693.30347812</x:v>
      </x:c>
      <x:c r="M95" s="101" t="n">
        <x:f>L95+M94</x:f>
        <x:v>-35302581.757345684</x:v>
      </x:c>
      <x:c r="N95" s="101" t="n">
        <x:f>M95+N94</x:f>
        <x:v>-32075166.128471944</x:v>
      </x:c>
      <x:c r="O95" s="101" t="n">
        <x:f>N95+O94</x:f>
        <x:v>-26921591.137991566</x:v>
      </x:c>
      <x:c r="P95" s="101" t="n">
        <x:f>O95+P94</x:f>
        <x:v>-19796288.246832367</x:v>
      </x:c>
      <x:c r="Q95" s="101" t="n">
        <x:f>P95+Q94</x:f>
        <x:v>-10648873.517518144</x:v>
      </x:c>
      <x:c r="R95" s="101" t="n">
        <x:f>Q95+R94</x:f>
        <x:v>575966.3071790002</x:v>
      </x:c>
      <x:c r="S95" s="101" t="n">
        <x:f>R95+S94</x:f>
        <x:v>13938599.76408235</x:v>
      </x:c>
      <x:c r="T95" s="101" t="n">
        <x:f>S95+T94</x:f>
        <x:v>29504588.952753652</x:v>
      </x:c>
      <x:c r="U95" s="101" t="n">
        <x:f>T95+U94</x:f>
        <x:v>47344840.456835166</x:v>
      </x:c>
      <x:c r="V95" s="101" t="n">
        <x:f>U95+V94</x:f>
        <x:v>67535769.24929856</x:v>
      </x:c>
      <x:c r="W95" s="101" t="n">
        <x:f>V95+W94</x:f>
        <x:v>90159475.95890403</x:v>
      </x:c>
      <x:c r="X95" s="101" t="n">
        <x:f>W95+X94</x:f>
        <x:v>115303937.90763275</x:v>
      </x:c>
      <x:c r="Y95" s="101" t="n">
        <x:f>X95+Y94</x:f>
        <x:v>143063214.36225873</x:v>
      </x:c>
      <x:c r="Z95" s="101" t="n">
        <x:f>Y95+Z94</x:f>
        <x:v>173537666.4776538</x:v>
      </x:c>
    </x:row>
    <x:row r="96" ht="15" hidden="1" customHeight="1">
      <x:c r="A96" s="100" t="s">
        <x:v>420</x:v>
      </x:c>
      <x:c r="B96" s="101" t="n">
        <x:f>B94</x:f>
        <x:v>-52140000</x:v>
      </x:c>
      <x:c r="C96" s="101" t="n">
        <x:f t="shared" ref="C96" si="17">B96+C94</x:f>
        <x:v>-68390414.184</x:v>
      </x:c>
      <x:c r="D96" s="101" t="n">
        <x:f>C96+D94</x:f>
        <x:v>-82919262.552</x:v>
      </x:c>
      <x:c r="E96" s="101" t="n">
        <x:f>D96+E94</x:f>
        <x:v>-95729671.13946</x:v>
      </x:c>
      <x:c r="F96" s="101" t="n">
        <x:f>E96+F94</x:f>
        <x:v>-106820462.06729999</x:v>
      </x:c>
      <x:c r="G96" s="101" t="n">
        <x:f>F96+G94</x:f>
        <x:v>-116186161.35698864</x:v>
      </x:c>
      <x:c r="H96" s="101" t="n">
        <x:f>G96+H94</x:f>
        <x:v>-123816995.98584554</x:v>
      </x:c>
      <x:c r="I96" s="101" t="n">
        <x:f>H96+I94</x:f>
        <x:v>-129698880.20209491</x:v>
      </x:c>
      <x:c r="J96" s="101" t="n">
        <x:f>I96+J94</x:f>
        <x:v>-133813391.0923089</x:v>
      </x:c>
      <x:c r="K96" s="101" t="n">
        <x:f>J96+K94</x:f>
        <x:v>-136137733.36702812</x:v>
      </x:c>
      <x:c r="L96" s="101" t="n">
        <x:f>K96+L94</x:f>
        <x:v>-136644693.30347812</x:v>
      </x:c>
      <x:c r="M96" s="101" t="n">
        <x:f>L96+M94</x:f>
        <x:v>-135302581.75734568</x:v>
      </x:c>
      <x:c r="N96" s="101" t="n">
        <x:f>M96+N94</x:f>
        <x:v>-132075166.12847194</x:v>
      </x:c>
      <x:c r="O96" s="101" t="n">
        <x:f>N96+O94</x:f>
        <x:v>-126921591.13799156</x:v>
      </x:c>
      <x:c r="P96" s="101" t="n">
        <x:f>O96+P94</x:f>
        <x:v>-119796288.24683237</x:v>
      </x:c>
      <x:c r="Q96" s="101" t="n">
        <x:f>P96+Q94</x:f>
        <x:v>-110648873.51751815</x:v>
      </x:c>
      <x:c r="R96" s="101" t="n">
        <x:f>Q96+R94</x:f>
        <x:v>-99424033.692821</x:v>
      </x:c>
      <x:c r="S96" s="101" t="n">
        <x:f>R96+S94</x:f>
        <x:v>-86061400.23591764</x:v>
      </x:c>
      <x:c r="T96" s="101" t="n">
        <x:f>S96+T94</x:f>
        <x:v>-70495411.04724634</x:v>
      </x:c>
      <x:c r="U96" s="101" t="n">
        <x:f>T96+U94</x:f>
        <x:v>-52655159.54316483</x:v>
      </x:c>
      <x:c r="V96" s="101" t="n">
        <x:f>U96+V94</x:f>
        <x:v>-32464230.750701435</x:v>
      </x:c>
      <x:c r="W96" s="101" t="n">
        <x:f>V96+W94</x:f>
        <x:v>-9840524.041095957</x:v>
      </x:c>
      <x:c r="X96" s="101" t="n">
        <x:f>W96+X94</x:f>
        <x:v>15303937.907632768</x:v>
      </x:c>
      <x:c r="Y96" s="101" t="n">
        <x:f>X96+Y94</x:f>
        <x:v>43063214.362258755</x:v>
      </x:c>
      <x:c r="Z96" s="101" t="n">
        <x:f>Y96+Z94</x:f>
        <x:v>73537666.47765383</x:v>
      </x:c>
    </x:row>
    <x:row r="97" ht="15" hidden="1" customHeight="1"/>
    <x:row r="98" ht="15" hidden="1" customHeight="1">
      <x:c r="A98" s="100" t="s">
        <x:v>421</x:v>
      </x:c>
      <x:c r="C98" s="102" t="n">
        <x:f>$D$81*(1+$E$81)^0</x:f>
        <x:v>10</x:v>
      </x:c>
      <x:c r="D98" s="102" t="n">
        <x:f>$D$81*(1+$E$81)^1</x:f>
        <x:v>10.5</x:v>
      </x:c>
      <x:c r="E98" s="102" t="n">
        <x:f>$D$81*(1+$E$81)^2</x:f>
        <x:v>11.025</x:v>
      </x:c>
      <x:c r="F98" s="102" t="n">
        <x:f>$D$81*(1+$E$81)^3</x:f>
        <x:v>11.576250000000002</x:v>
      </x:c>
      <x:c r="G98" s="102" t="n">
        <x:f>$D$81*(1+$E$81)^4</x:f>
        <x:v>12.155062500000003</x:v>
      </x:c>
      <x:c r="H98" s="102" t="n">
        <x:f>$D$81*(1+$E$81)^5</x:f>
        <x:v>12.762815625000004</x:v>
      </x:c>
      <x:c r="I98" s="102" t="n">
        <x:f>$D$81*(1+$E$81)^6</x:f>
        <x:v>13.400956406250003</x:v>
      </x:c>
      <x:c r="J98" s="102" t="n">
        <x:f>$D$81*(1+$E$81)^7</x:f>
        <x:v>14.071004226562504</x:v>
      </x:c>
      <x:c r="K98" s="102" t="n">
        <x:f>$D$81*(1+$E$81)^8</x:f>
        <x:v>14.77455443789063</x:v>
      </x:c>
      <x:c r="L98" s="102" t="n">
        <x:f>$D$81*(1+$E$81)^9</x:f>
        <x:v>15.513282159785163</x:v>
      </x:c>
      <x:c r="M98" s="102" t="n">
        <x:f>$D$81*(1+$E$81)^10</x:f>
        <x:v>16.28894626777442</x:v>
      </x:c>
      <x:c r="N98" s="102" t="n">
        <x:f>$D$81*(1+$E$81)^11</x:f>
        <x:v>17.103393581163143</x:v>
      </x:c>
      <x:c r="O98" s="102" t="n">
        <x:f>$D$81*(1+$E$81)^12</x:f>
        <x:v>17.9585632602213</x:v>
      </x:c>
      <x:c r="P98" s="102" t="n">
        <x:f>$D$81*(1+$E$81)^13</x:f>
        <x:v>18.856491423232367</x:v>
      </x:c>
      <x:c r="Q98" s="102" t="n">
        <x:f>$D$81*(1+$E$81)^14</x:f>
        <x:v>19.799315994393986</x:v>
      </x:c>
      <x:c r="R98" s="102" t="n">
        <x:f>$D$81*(1+$E$81)^15</x:f>
        <x:v>20.789281794113688</x:v>
      </x:c>
      <x:c r="S98" s="102" t="n">
        <x:f>$D$81*(1+$E$81)^16</x:f>
        <x:v>21.82874588381937</x:v>
      </x:c>
      <x:c r="T98" s="102" t="n">
        <x:f>$D$81*(1+$E$81)^17</x:f>
        <x:v>22.92018317801034</x:v>
      </x:c>
      <x:c r="U98" s="102" t="n">
        <x:f>$D$81*(1+$E$81)^18</x:f>
        <x:v>24.066192336910856</x:v>
      </x:c>
      <x:c r="V98" s="102" t="n">
        <x:f>$D$81*(1+$E$81)^19</x:f>
        <x:v>25.269501953756404</x:v>
      </x:c>
      <x:c r="W98" s="102" t="n">
        <x:f>$D$81*(1+$E$81)^20</x:f>
        <x:v>26.53297705144422</x:v>
      </x:c>
      <x:c r="X98" s="102" t="n">
        <x:f>$D$81*(1+$E$81)^21</x:f>
        <x:v>27.859625904016436</x:v>
      </x:c>
      <x:c r="Y98" s="102" t="n">
        <x:f>$D$81*(1+$E$81)^22</x:f>
        <x:v>29.25260719921726</x:v>
      </x:c>
      <x:c r="Z98" s="102" t="n">
        <x:f>$D$81*(1+$E$81)^23</x:f>
        <x:v>30.715237559178124</x:v>
      </x:c>
    </x:row>
    <x:row r="99" ht="15" hidden="1" customHeight="1">
      <x:c r="A99" s="100" t="s">
        <x:v>422</x:v>
      </x:c>
      <x:c r="B99" s="100">
        <x:v>0</x:v>
      </x:c>
      <x:c r="C99" s="102" t="n">
        <x:f t="shared" ref="C99" si="18">B99*(1-$F$81)+C98</x:f>
        <x:v>10</x:v>
      </x:c>
      <x:c r="D99" s="102" t="n">
        <x:f>C99*(1-$F$81)+D98</x:f>
        <x:v>20</x:v>
      </x:c>
      <x:c r="E99" s="102" t="n">
        <x:f>D99*(1-$F$81)+E98</x:f>
        <x:v>30.025</x:v>
      </x:c>
      <x:c r="F99" s="102" t="n">
        <x:f>E99*(1-$F$81)+F98</x:f>
        <x:v>40.099999999999994</x:v>
      </x:c>
      <x:c r="G99" s="102" t="n">
        <x:f>F99*(1-$F$81)+G98</x:f>
        <x:v>50.2500625</x:v>
      </x:c>
      <x:c r="H99" s="102" t="n">
        <x:f>G99*(1-$F$81)+H98</x:f>
        <x:v>60.500375</x:v>
      </x:c>
      <x:c r="I99" s="102" t="n">
        <x:f>H99*(1-$F$81)+I98</x:f>
        <x:v>70.87631265625001</x:v>
      </x:c>
      <x:c r="J99" s="102" t="n">
        <x:f>I99*(1-$F$81)+J98</x:f>
        <x:v>81.40350125</x:v>
      </x:c>
      <x:c r="K99" s="102" t="n">
        <x:f>J99*(1-$F$81)+K98</x:f>
        <x:v>92.10788062539064</x:v>
      </x:c>
      <x:c r="L99" s="102" t="n">
        <x:f>K99*(1-$F$81)+L98</x:f>
        <x:v>103.01576875390626</x:v>
      </x:c>
      <x:c r="M99" s="102" t="n">
        <x:f>L99*(1-$F$81)+M98</x:f>
        <x:v>114.15392658398537</x:v>
      </x:c>
      <x:c r="N99" s="102" t="n">
        <x:f>M99*(1-$F$81)+N98</x:f>
        <x:v>125.54962383594923</x:v>
      </x:c>
      <x:c r="O99" s="102" t="n">
        <x:f>N99*(1-$F$81)+O98</x:f>
        <x:v>137.23070590437308</x:v>
      </x:c>
      <x:c r="P99" s="102" t="n">
        <x:f>O99*(1-$F$81)+P98</x:f>
        <x:v>149.2256620323868</x:v>
      </x:c>
      <x:c r="Q99" s="102" t="n">
        <x:f>P99*(1-$F$81)+Q98</x:f>
        <x:v>161.56369492516143</x:v>
      </x:c>
      <x:c r="R99" s="102" t="n">
        <x:f>Q99*(1-$F$81)+R98</x:f>
        <x:v>174.27479197301705</x:v>
      </x:c>
      <x:c r="S99" s="102" t="n">
        <x:f>R99*(1-$F$81)+S98</x:f>
        <x:v>187.38979825818558</x:v>
      </x:c>
      <x:c r="T99" s="102" t="n">
        <x:f>S99*(1-$F$81)+T98</x:f>
        <x:v>200.94049152328665</x:v>
      </x:c>
      <x:c r="U99" s="102" t="n">
        <x:f>T99*(1-$F$81)+U98</x:f>
        <x:v>214.95965928403317</x:v>
      </x:c>
      <x:c r="V99" s="102" t="n">
        <x:f>U99*(1-$F$81)+V98</x:f>
        <x:v>229.4811782735879</x:v>
      </x:c>
      <x:c r="W99" s="102" t="n">
        <x:f>V99*(1-$F$81)+W98</x:f>
        <x:v>244.5400964113527</x:v>
      </x:c>
      <x:c r="X99" s="102" t="n">
        <x:f>W99*(1-$F$81)+X98</x:f>
        <x:v>260.1727174948015</x:v>
      </x:c>
      <x:c r="Y99" s="102" t="n">
        <x:f>X99*(1-$F$81)+Y98</x:f>
        <x:v>276.41668881927865</x:v>
      </x:c>
      <x:c r="Z99" s="102" t="n">
        <x:f>Y99*(1-$F$81)+Z98</x:f>
        <x:v>293.31109193749285</x:v>
      </x:c>
    </x:row>
    <x:row r="100" ht="15" hidden="1" customHeight="1">
      <x:c r="A100" s="100" t="s">
        <x:v>423</x:v>
      </x:c>
      <x:c r="B100" s="101" t="n">
        <x:f>-$I$81</x:f>
        <x:v>-52140000</x:v>
      </x:c>
      <x:c r="C100" s="101" t="n">
        <x:f t="shared" ref="C100" si="19">C99*($B$81-$C$81)-C98*$G$81-$H$81</x:f>
        <x:v>-16727534.184</x:v>
      </x:c>
      <x:c r="D100" s="101" t="n">
        <x:f>D99*($B$81-$C$81)-D98*$G$81-$H$81</x:f>
        <x:v>-15483088.368</x:v>
      </x:c>
      <x:c r="E100" s="101" t="n">
        <x:f>E99*($B$81-$C$81)-E98*$G$81-$H$81</x:f>
        <x:v>-14242961.38746</x:v>
      </x:c>
      <x:c r="F100" s="101" t="n">
        <x:f>F99*($B$81-$C$81)-F98*$G$81-$H$81</x:f>
        <x:v>-13004042.127840001</x:v>
      </x:c>
      <x:c r="G100" s="101" t="n">
        <x:f>G99*($B$81-$C$81)-G98*$G$81-$H$81</x:f>
        <x:v>-11763230.271688651</x:v>
      </x:c>
      <x:c r="H100" s="101" t="n">
        <x:f>H99*($B$81-$C$81)-H98*$G$81-$H$81</x:f>
        <x:v>-10517428.5208569</x:v>
      </x:c>
      <x:c r="I100" s="101" t="n">
        <x:f>I99*($B$81-$C$81)-I98*$G$81-$H$81</x:f>
        <x:v>-9263534.845704371</x:v>
      </x:c>
      <x:c r="J100" s="101" t="n">
        <x:f>J99*($B$81-$C$81)-J98*$G$81-$H$81</x:f>
        <x:v>-7998434.741853985</x:v>
      </x:c>
      <x:c r="K100" s="101" t="n">
        <x:f>K99*($B$81-$C$81)-K98*$G$81-$H$81</x:f>
        <x:v>-6718993.475117859</x:v>
      </x:c>
      <x:c r="L100" s="101" t="n">
        <x:f>L99*($B$81-$C$81)-L98*$G$81-$H$81</x:f>
        <x:v>-5422048.295236371</x:v>
      </x:c>
      <x:c r="M100" s="101" t="n">
        <x:f>M99*($B$81-$C$81)-M98*$G$81-$H$81</x:f>
        <x:v>-4104400.5990426727</x:v>
      </x:c>
      <x:c r="N100" s="101" t="n">
        <x:f>N99*($B$81-$C$81)-N98*$G$81-$H$81</x:f>
        <x:v>-2762808.0235870704</x:v>
      </x:c>
      <x:c r="O100" s="101" t="n">
        <x:f>O99*($B$81-$C$81)-O98*$G$81-$H$81</x:f>
        <x:v>-1393976.4496290684</x:v>
      </x:c>
      <x:c r="P100" s="101" t="n">
        <x:f>P99*($B$81-$C$81)-P98*$G$81-$H$81</x:f>
        <x:v>5448.104269962758</x:v>
      </x:c>
      <x:c r="Q100" s="101" t="n">
        <x:f>Q99*($B$81-$C$81)-Q98*$G$81-$H$81</x:f>
        <x:v>1438887.7170449197</x:v>
      </x:c>
      <x:c r="R100" s="101" t="n">
        <x:f>R99*($B$81-$C$81)-R98*$G$81-$H$81</x:f>
        <x:v>2909840.950080551</x:v>
      </x:c>
      <x:c r="S100" s="101" t="n">
        <x:f>S99*($B$81-$C$81)-S98*$G$81-$H$81</x:f>
        <x:v>4421891.402408801</x:v>
      </x:c>
      <x:c r="T100" s="101" t="n">
        <x:f>T99*($B$81-$C$81)-T98*$G$81-$H$81</x:f>
        <x:v>5978716.457112249</x:v>
      </x:c>
      <x:c r="U100" s="101" t="n">
        <x:f>U99*($B$81-$C$81)-U98*$G$81-$H$81</x:f>
        <x:v>7584096.240321718</x:v>
      </x:c>
      <x:c r="V100" s="101" t="n">
        <x:f>V99*($B$81-$C$81)-V98*$G$81-$H$81</x:f>
        <x:v>9241922.814673964</x:v>
      </x:c>
      <x:c r="W100" s="101" t="n">
        <x:f>W99*($B$81-$C$81)-W98*$G$81-$H$81</x:f>
        <x:v>10956209.62962702</x:v>
      </x:c>
      <x:c r="X100" s="101" t="n">
        <x:f>X99*($B$81-$C$81)-X98*$G$81-$H$81</x:f>
        <x:v>12731101.251616754</x:v>
      </x:c>
      <x:c r="Y100" s="101" t="n">
        <x:f>Y99*($B$81-$C$81)-Y98*$G$81-$H$81</x:f>
        <x:v>14570883.397680566</x:v>
      </x:c>
      <x:c r="Z100" s="101" t="n">
        <x:f>Z99*($B$81-$C$81)-Z98*$G$81-$H$81</x:f>
        <x:v>16479993.296873413</x:v>
      </x:c>
    </x:row>
    <x:row r="101" ht="15" hidden="1" customHeight="1">
      <x:c r="A101" s="100" t="s">
        <x:v>424</x:v>
      </x:c>
      <x:c r="B101" s="101" t="n">
        <x:f>$J$81+B100</x:f>
        <x:v>47860000</x:v>
      </x:c>
      <x:c r="C101" s="101" t="n">
        <x:f t="shared" ref="C101" si="20">B101+C100</x:f>
        <x:v>31132465.816</x:v>
      </x:c>
      <x:c r="D101" s="101" t="n">
        <x:f>C101+D100</x:f>
        <x:v>15649377.447999999</x:v>
      </x:c>
      <x:c r="E101" s="101" t="n">
        <x:f>D101+E100</x:f>
        <x:v>1406416.060539998</x:v>
      </x:c>
      <x:c r="F101" s="101" t="n">
        <x:f>E101+F100</x:f>
        <x:v>-11597626.067300003</x:v>
      </x:c>
      <x:c r="G101" s="101" t="n">
        <x:f>F101+G100</x:f>
        <x:v>-23360856.338988654</x:v>
      </x:c>
      <x:c r="H101" s="101" t="n">
        <x:f>G101+H100</x:f>
        <x:v>-33878284.85984556</x:v>
      </x:c>
      <x:c r="I101" s="101" t="n">
        <x:f>H101+I100</x:f>
        <x:v>-43141819.705549926</x:v>
      </x:c>
      <x:c r="J101" s="101" t="n">
        <x:f>I101+J100</x:f>
        <x:v>-51140254.44740391</x:v>
      </x:c>
      <x:c r="K101" s="101" t="n">
        <x:f>J101+K100</x:f>
        <x:v>-57859247.92252177</x:v>
      </x:c>
      <x:c r="L101" s="101" t="n">
        <x:f>K101+L100</x:f>
        <x:v>-63281296.21775814</x:v>
      </x:c>
      <x:c r="M101" s="101" t="n">
        <x:f>L101+M100</x:f>
        <x:v>-67385696.81680082</x:v>
      </x:c>
      <x:c r="N101" s="101" t="n">
        <x:f>M101+N100</x:f>
        <x:v>-70148504.84038788</x:v>
      </x:c>
      <x:c r="O101" s="101" t="n">
        <x:f>N101+O100</x:f>
        <x:v>-71542481.29001695</x:v>
      </x:c>
      <x:c r="P101" s="101" t="n">
        <x:f>O101+P100</x:f>
        <x:v>-71537033.18574698</x:v>
      </x:c>
      <x:c r="Q101" s="101" t="n">
        <x:f>P101+Q100</x:f>
        <x:v>-70098145.46870206</x:v>
      </x:c>
      <x:c r="R101" s="101" t="n">
        <x:f>Q101+R100</x:f>
        <x:v>-67188304.5186215</x:v>
      </x:c>
      <x:c r="S101" s="101" t="n">
        <x:f>R101+S100</x:f>
        <x:v>-62766413.1162127</x:v>
      </x:c>
      <x:c r="T101" s="101" t="n">
        <x:f>S101+T100</x:f>
        <x:v>-56787696.65910046</x:v>
      </x:c>
      <x:c r="U101" s="101" t="n">
        <x:f>T101+U100</x:f>
        <x:v>-49203600.41877874</x:v>
      </x:c>
      <x:c r="V101" s="101" t="n">
        <x:f>U101+V100</x:f>
        <x:v>-39961677.60410477</x:v>
      </x:c>
      <x:c r="W101" s="101" t="n">
        <x:f>V101+W100</x:f>
        <x:v>-29005467.974477753</x:v>
      </x:c>
      <x:c r="X101" s="101" t="n">
        <x:f>W101+X100</x:f>
        <x:v>-16274366.722861</x:v>
      </x:c>
      <x:c r="Y101" s="101" t="n">
        <x:f>X101+Y100</x:f>
        <x:v>-1703483.3251804337</x:v>
      </x:c>
      <x:c r="Z101" s="101" t="n">
        <x:f>Y101+Z100</x:f>
        <x:v>14776509.97169298</x:v>
      </x:c>
    </x:row>
    <x:row r="102" ht="15" hidden="1" customHeight="1">
      <x:c r="A102" s="100" t="s">
        <x:v>425</x:v>
      </x:c>
      <x:c r="B102" s="101" t="n">
        <x:f>B100</x:f>
        <x:v>-52140000</x:v>
      </x:c>
      <x:c r="C102" s="101" t="n">
        <x:f t="shared" ref="C102" si="21">B102+C100</x:f>
        <x:v>-68867534.184</x:v>
      </x:c>
      <x:c r="D102" s="101" t="n">
        <x:f>C102+D100</x:f>
        <x:v>-84350622.552</x:v>
      </x:c>
      <x:c r="E102" s="101" t="n">
        <x:f>D102+E100</x:f>
        <x:v>-98593583.93946001</x:v>
      </x:c>
      <x:c r="F102" s="101" t="n">
        <x:f>E102+F100</x:f>
        <x:v>-111597626.0673</x:v>
      </x:c>
      <x:c r="G102" s="101" t="n">
        <x:f>F102+G100</x:f>
        <x:v>-123360856.33898866</x:v>
      </x:c>
      <x:c r="H102" s="101" t="n">
        <x:f>G102+H100</x:f>
        <x:v>-133878284.85984556</x:v>
      </x:c>
      <x:c r="I102" s="101" t="n">
        <x:f>H102+I100</x:f>
        <x:v>-143141819.70554993</x:v>
      </x:c>
      <x:c r="J102" s="101" t="n">
        <x:f>I102+J100</x:f>
        <x:v>-151140254.4474039</x:v>
      </x:c>
      <x:c r="K102" s="101" t="n">
        <x:f>J102+K100</x:f>
        <x:v>-157859247.92252177</x:v>
      </x:c>
      <x:c r="L102" s="101" t="n">
        <x:f>K102+L100</x:f>
        <x:v>-163281296.21775815</x:v>
      </x:c>
      <x:c r="M102" s="101" t="n">
        <x:f>L102+M100</x:f>
        <x:v>-167385696.81680083</x:v>
      </x:c>
      <x:c r="N102" s="101" t="n">
        <x:f>M102+N100</x:f>
        <x:v>-170148504.8403879</x:v>
      </x:c>
      <x:c r="O102" s="101" t="n">
        <x:f>N102+O100</x:f>
        <x:v>-171542481.29001698</x:v>
      </x:c>
      <x:c r="P102" s="101" t="n">
        <x:f>O102+P100</x:f>
        <x:v>-171537033.18574703</x:v>
      </x:c>
      <x:c r="Q102" s="101" t="n">
        <x:f>P102+Q100</x:f>
        <x:v>-170098145.4687021</x:v>
      </x:c>
      <x:c r="R102" s="101" t="n">
        <x:f>Q102+R100</x:f>
        <x:v>-167188304.51862156</x:v>
      </x:c>
      <x:c r="S102" s="101" t="n">
        <x:f>R102+S100</x:f>
        <x:v>-162766413.11621276</x:v>
      </x:c>
      <x:c r="T102" s="101" t="n">
        <x:f>S102+T100</x:f>
        <x:v>-156787696.6591005</x:v>
      </x:c>
      <x:c r="U102" s="101" t="n">
        <x:f>T102+U100</x:f>
        <x:v>-149203600.41877878</x:v>
      </x:c>
      <x:c r="V102" s="101" t="n">
        <x:f>U102+V100</x:f>
        <x:v>-139961677.60410482</x:v>
      </x:c>
      <x:c r="W102" s="101" t="n">
        <x:f>V102+W100</x:f>
        <x:v>-129005467.9744778</x:v>
      </x:c>
      <x:c r="X102" s="101" t="n">
        <x:f>W102+X100</x:f>
        <x:v>-116274366.72286105</x:v>
      </x:c>
      <x:c r="Y102" s="101" t="n">
        <x:f>X102+Y100</x:f>
        <x:v>-101703483.32518049</x:v>
      </x:c>
      <x:c r="Z102" s="101" t="n">
        <x:f>Y102+Z100</x:f>
        <x:v>-85223490.02830708</x:v>
      </x:c>
    </x:row>
    <x:row r="103" ht="15" hidden="1" customHeight="1"/>
    <x:row r="104" ht="15" hidden="1" customHeight="1">
      <x:c r="A104" s="100" t="s">
        <x:v>426</x:v>
      </x:c>
      <x:c r="C104" s="102" t="n">
        <x:f>$D$82*(1+$E$82)^0</x:f>
        <x:v>10</x:v>
      </x:c>
      <x:c r="D104" s="102" t="n">
        <x:f>$D$82*(1+$E$82)^1</x:f>
        <x:v>10.5</x:v>
      </x:c>
      <x:c r="E104" s="102" t="n">
        <x:f>$D$82*(1+$E$82)^2</x:f>
        <x:v>11.025</x:v>
      </x:c>
      <x:c r="F104" s="102" t="n">
        <x:f>$D$82*(1+$E$82)^3</x:f>
        <x:v>11.576250000000002</x:v>
      </x:c>
      <x:c r="G104" s="102" t="n">
        <x:f>$D$82*(1+$E$82)^4</x:f>
        <x:v>12.155062500000003</x:v>
      </x:c>
      <x:c r="H104" s="102" t="n">
        <x:f>$D$82*(1+$E$82)^5</x:f>
        <x:v>12.762815625000004</x:v>
      </x:c>
      <x:c r="I104" s="102" t="n">
        <x:f>$D$82*(1+$E$82)^6</x:f>
        <x:v>13.400956406250003</x:v>
      </x:c>
      <x:c r="J104" s="102" t="n">
        <x:f>$D$82*(1+$E$82)^7</x:f>
        <x:v>14.071004226562504</x:v>
      </x:c>
      <x:c r="K104" s="102" t="n">
        <x:f>$D$82*(1+$E$82)^8</x:f>
        <x:v>14.77455443789063</x:v>
      </x:c>
      <x:c r="L104" s="102" t="n">
        <x:f>$D$82*(1+$E$82)^9</x:f>
        <x:v>15.513282159785163</x:v>
      </x:c>
      <x:c r="M104" s="102" t="n">
        <x:f>$D$82*(1+$E$82)^10</x:f>
        <x:v>16.28894626777442</x:v>
      </x:c>
      <x:c r="N104" s="102" t="n">
        <x:f>$D$82*(1+$E$82)^11</x:f>
        <x:v>17.103393581163143</x:v>
      </x:c>
      <x:c r="O104" s="102" t="n">
        <x:f>$D$82*(1+$E$82)^12</x:f>
        <x:v>17.9585632602213</x:v>
      </x:c>
      <x:c r="P104" s="102" t="n">
        <x:f>$D$82*(1+$E$82)^13</x:f>
        <x:v>18.856491423232367</x:v>
      </x:c>
      <x:c r="Q104" s="102" t="n">
        <x:f>$D$82*(1+$E$82)^14</x:f>
        <x:v>19.799315994393986</x:v>
      </x:c>
      <x:c r="R104" s="102" t="n">
        <x:f>$D$82*(1+$E$82)^15</x:f>
        <x:v>20.789281794113688</x:v>
      </x:c>
      <x:c r="S104" s="102" t="n">
        <x:f>$D$82*(1+$E$82)^16</x:f>
        <x:v>21.82874588381937</x:v>
      </x:c>
      <x:c r="T104" s="102" t="n">
        <x:f>$D$82*(1+$E$82)^17</x:f>
        <x:v>22.92018317801034</x:v>
      </x:c>
      <x:c r="U104" s="102" t="n">
        <x:f>$D$82*(1+$E$82)^18</x:f>
        <x:v>24.066192336910856</x:v>
      </x:c>
      <x:c r="V104" s="102" t="n">
        <x:f>$D$82*(1+$E$82)^19</x:f>
        <x:v>25.269501953756404</x:v>
      </x:c>
      <x:c r="W104" s="102" t="n">
        <x:f>$D$82*(1+$E$82)^20</x:f>
        <x:v>26.53297705144422</x:v>
      </x:c>
      <x:c r="X104" s="102" t="n">
        <x:f>$D$82*(1+$E$82)^21</x:f>
        <x:v>27.859625904016436</x:v>
      </x:c>
      <x:c r="Y104" s="102" t="n">
        <x:f>$D$82*(1+$E$82)^22</x:f>
        <x:v>29.25260719921726</x:v>
      </x:c>
      <x:c r="Z104" s="102" t="n">
        <x:f>$D$82*(1+$E$82)^23</x:f>
        <x:v>30.715237559178124</x:v>
      </x:c>
    </x:row>
    <x:row r="105" ht="15" hidden="1" customHeight="1">
      <x:c r="A105" s="100" t="s">
        <x:v>427</x:v>
      </x:c>
      <x:c r="B105" s="100">
        <x:v>0</x:v>
      </x:c>
      <x:c r="C105" s="102" t="n">
        <x:f t="shared" ref="C105" si="22">B105*(1-$F$82)+C104</x:f>
        <x:v>10</x:v>
      </x:c>
      <x:c r="D105" s="102" t="n">
        <x:f>C105*(1-$F$82)+D104</x:f>
        <x:v>20</x:v>
      </x:c>
      <x:c r="E105" s="102" t="n">
        <x:f>D105*(1-$F$82)+E104</x:f>
        <x:v>30.025</x:v>
      </x:c>
      <x:c r="F105" s="102" t="n">
        <x:f>E105*(1-$F$82)+F104</x:f>
        <x:v>40.099999999999994</x:v>
      </x:c>
      <x:c r="G105" s="102" t="n">
        <x:f>F105*(1-$F$82)+G104</x:f>
        <x:v>50.2500625</x:v>
      </x:c>
      <x:c r="H105" s="102" t="n">
        <x:f>G105*(1-$F$82)+H104</x:f>
        <x:v>60.500375</x:v>
      </x:c>
      <x:c r="I105" s="102" t="n">
        <x:f>H105*(1-$F$82)+I104</x:f>
        <x:v>70.87631265625001</x:v>
      </x:c>
      <x:c r="J105" s="102" t="n">
        <x:f>I105*(1-$F$82)+J104</x:f>
        <x:v>81.40350125</x:v>
      </x:c>
      <x:c r="K105" s="102" t="n">
        <x:f>J105*(1-$F$82)+K104</x:f>
        <x:v>92.10788062539064</x:v>
      </x:c>
      <x:c r="L105" s="102" t="n">
        <x:f>K105*(1-$F$82)+L104</x:f>
        <x:v>103.01576875390626</x:v>
      </x:c>
      <x:c r="M105" s="102" t="n">
        <x:f>L105*(1-$F$82)+M104</x:f>
        <x:v>114.15392658398537</x:v>
      </x:c>
      <x:c r="N105" s="102" t="n">
        <x:f>M105*(1-$F$82)+N104</x:f>
        <x:v>125.54962383594923</x:v>
      </x:c>
      <x:c r="O105" s="102" t="n">
        <x:f>N105*(1-$F$82)+O104</x:f>
        <x:v>137.23070590437308</x:v>
      </x:c>
      <x:c r="P105" s="102" t="n">
        <x:f>O105*(1-$F$82)+P104</x:f>
        <x:v>149.2256620323868</x:v>
      </x:c>
      <x:c r="Q105" s="102" t="n">
        <x:f>P105*(1-$F$82)+Q104</x:f>
        <x:v>161.56369492516143</x:v>
      </x:c>
      <x:c r="R105" s="102" t="n">
        <x:f>Q105*(1-$F$82)+R104</x:f>
        <x:v>174.27479197301705</x:v>
      </x:c>
      <x:c r="S105" s="102" t="n">
        <x:f>R105*(1-$F$82)+S104</x:f>
        <x:v>187.38979825818558</x:v>
      </x:c>
      <x:c r="T105" s="102" t="n">
        <x:f>S105*(1-$F$82)+T104</x:f>
        <x:v>200.94049152328665</x:v>
      </x:c>
      <x:c r="U105" s="102" t="n">
        <x:f>T105*(1-$F$82)+U104</x:f>
        <x:v>214.95965928403317</x:v>
      </x:c>
      <x:c r="V105" s="102" t="n">
        <x:f>U105*(1-$F$82)+V104</x:f>
        <x:v>229.4811782735879</x:v>
      </x:c>
      <x:c r="W105" s="102" t="n">
        <x:f>V105*(1-$F$82)+W104</x:f>
        <x:v>244.5400964113527</x:v>
      </x:c>
      <x:c r="X105" s="102" t="n">
        <x:f>W105*(1-$F$82)+X104</x:f>
        <x:v>260.1727174948015</x:v>
      </x:c>
      <x:c r="Y105" s="102" t="n">
        <x:f>X105*(1-$F$82)+Y104</x:f>
        <x:v>276.41668881927865</x:v>
      </x:c>
      <x:c r="Z105" s="102" t="n">
        <x:f>Y105*(1-$F$82)+Z104</x:f>
        <x:v>293.31109193749285</x:v>
      </x:c>
    </x:row>
    <x:row r="106" ht="15" hidden="1" customHeight="1">
      <x:c r="A106" s="100" t="s">
        <x:v>428</x:v>
      </x:c>
      <x:c r="B106" s="101" t="n">
        <x:f>-$I$82</x:f>
        <x:v>-52140000</x:v>
      </x:c>
      <x:c r="C106" s="101" t="n">
        <x:f t="shared" ref="C106" si="23">C105*($B$82-$C$82)-C104*$G$82-$H$82</x:f>
        <x:v>-16351937.0208</x:v>
      </x:c>
      <x:c r="D106" s="101" t="n">
        <x:f>D105*($B$82-$C$82)-D104*$G$82-$H$82</x:f>
        <x:v>-14731894.0416</x:v>
      </x:c>
      <x:c r="E106" s="101" t="n">
        <x:f>E105*($B$82-$C$82)-E104*$G$82-$H$82</x:f>
        <x:v>-13115230.904952</x:v>
      </x:c>
      <x:c r="F106" s="101" t="n">
        <x:f>F105*($B$82-$C$82)-F104*$G$82-$H$82</x:f>
        <x:v>-11497897.503408004</x:v>
      </x:c>
      <x:c r="G106" s="101" t="n">
        <x:f>G105*($B$82-$C$82)-G104*$G$82-$H$82</x:f>
        <x:v>-9875852.179126382</x:v>
      </x:c>
      <x:c r="H106" s="101" t="n">
        <x:f>H105*($B$82-$C$82)-H104*$G$82-$H$82</x:f>
        <x:v>-8245051.598603282</x:v>
      </x:c>
      <x:c r="I106" s="101" t="n">
        <x:f>I105*($B$82-$C$82)-I104*$G$82-$H$82</x:f>
        <x:v>-6601440.648527997</x:v>
      </x:c>
      <x:c r="J106" s="101" t="n">
        <x:f>J105*($B$82-$C$82)-J104*$G$82-$H$82</x:f>
        <x:v>-4940942.327449221</x:v>
      </x:c>
      <x:c r="K106" s="101" t="n">
        <x:f>K105*($B$82-$C$82)-K104*$G$82-$H$82</x:f>
        <x:v>-3259447.607991766</x:v>
      </x:c>
      <x:c r="L106" s="101" t="n">
        <x:f>L105*($B$82-$C$82)-L104*$G$82-$H$82</x:f>
        <x:v>-1552805.244352933</x:v>
      </x:c>
      <x:c r="M106" s="101" t="n">
        <x:f>M105*($B$82-$C$82)-M104*$G$82-$H$82</x:f>
        <x:v>183188.5002659224</x:v>
      </x:c>
      <x:c r="N106" s="101" t="n">
        <x:f>N105*($B$82-$C$82)-N104*$G$82-$H$82</x:f>
        <x:v>1952800.2317738906</x:v>
      </x:c>
      <x:c r="O106" s="101" t="n">
        <x:f>O105*($B$82-$C$82)-O104*$G$82-$H$82</x:f>
        <x:v>3760369.9345325306</x:v>
      </x:c>
      <x:c r="P106" s="101" t="n">
        <x:f>P105*($B$82-$C$82)-P104*$G$82-$H$82</x:f>
        <x:v>5610321.637870602</x:v>
      </x:c>
      <x:c r="Q106" s="101" t="n">
        <x:f>Q105*($B$82-$C$82)-Q104*$G$82-$H$82</x:f>
        <x:v>7507174.266045004</x:v>
      </x:c>
      <x:c r="R106" s="101" t="n">
        <x:f>R105*($B$82-$C$82)-R104*$G$82-$H$82</x:f>
        <x:v>9455552.698314078</x:v>
      </x:c>
      <x:c r="S106" s="101" t="n">
        <x:f>S105*($B$82-$C$82)-S104*$G$82-$H$82</x:f>
        <x:v>11460199.066248279</x:v>
      </x:c>
      <x:c r="T106" s="101" t="n">
        <x:f>T105*($B$82-$C$82)-T104*$G$82-$H$82</x:f>
        <x:v>13525984.315928254</x:v>
      </x:c>
      <x:c r="U106" s="101" t="n">
        <x:f>U105*($B$82-$C$82)-U104*$G$82-$H$82</x:f>
        <x:v>15657920.063273855</x:v>
      </x:c>
      <x:c r="V106" s="101" t="n">
        <x:f>V105*($B$82-$C$82)-V104*$G$82-$H$82</x:f>
        <x:v>17861170.77140927</x:v>
      </x:c>
      <x:c r="W106" s="101" t="n">
        <x:f>W105*($B$82-$C$82)-W104*$G$82-$H$82</x:f>
        <x:v>20141066.279702872</x:v>
      </x:c>
      <x:c r="X106" s="101" t="n">
        <x:f>X105*($B$82-$C$82)-X104*$G$82-$H$82</x:f>
        <x:v>22503114.714925</x:v>
      </x:c>
      <x:c r="Y106" s="101" t="n">
        <x:f>Y105*($B$82-$C$82)-Y104*$G$82-$H$82</x:f>
        <x:v>24953015.815846376</x:v>
      </x:c>
      <x:c r="Z106" s="101" t="n">
        <x:f>Z105*($B$82-$C$82)-Z104*$G$82-$H$82</x:f>
        <x:v>27496674.703555077</x:v>
      </x:c>
    </x:row>
    <x:row r="107" ht="15" hidden="1" customHeight="1">
      <x:c r="A107" s="100" t="s">
        <x:v>429</x:v>
      </x:c>
      <x:c r="B107" s="101" t="n">
        <x:f>$J$82+B106</x:f>
        <x:v>47860000</x:v>
      </x:c>
      <x:c r="C107" s="101" t="n">
        <x:f t="shared" ref="C107" si="24">B107+C106</x:f>
        <x:v>31508062.979199998</x:v>
      </x:c>
      <x:c r="D107" s="101" t="n">
        <x:f>C107+D106</x:f>
        <x:v>16776168.937599998</x:v>
      </x:c>
      <x:c r="E107" s="101" t="n">
        <x:f>D107+E106</x:f>
        <x:v>3660938.032647997</x:v>
      </x:c>
      <x:c r="F107" s="101" t="n">
        <x:f>E107+F106</x:f>
        <x:v>-7836959.470760006</x:v>
      </x:c>
      <x:c r="G107" s="101" t="n">
        <x:f>F107+G106</x:f>
        <x:v>-17712811.64988639</x:v>
      </x:c>
      <x:c r="H107" s="101" t="n">
        <x:f>G107+H106</x:f>
        <x:v>-25957863.24848967</x:v>
      </x:c>
      <x:c r="I107" s="101" t="n">
        <x:f>H107+I106</x:f>
        <x:v>-32559303.897017665</x:v>
      </x:c>
      <x:c r="J107" s="101" t="n">
        <x:f>I107+J106</x:f>
        <x:v>-37500246.22446689</x:v>
      </x:c>
      <x:c r="K107" s="101" t="n">
        <x:f>J107+K106</x:f>
        <x:v>-40759693.83245866</x:v>
      </x:c>
      <x:c r="L107" s="101" t="n">
        <x:f>K107+L106</x:f>
        <x:v>-42312499.0768116</x:v>
      </x:c>
      <x:c r="M107" s="101" t="n">
        <x:f>L107+M106</x:f>
        <x:v>-42129310.57654567</x:v>
      </x:c>
      <x:c r="N107" s="101" t="n">
        <x:f>M107+N106</x:f>
        <x:v>-40176510.34477178</x:v>
      </x:c>
      <x:c r="O107" s="101" t="n">
        <x:f>N107+O106</x:f>
        <x:v>-36416140.41023925</x:v>
      </x:c>
      <x:c r="P107" s="101" t="n">
        <x:f>O107+P106</x:f>
        <x:v>-30805818.772368647</x:v>
      </x:c>
      <x:c r="Q107" s="101" t="n">
        <x:f>P107+Q106</x:f>
        <x:v>-23298644.506323643</x:v>
      </x:c>
      <x:c r="R107" s="101" t="n">
        <x:f>Q107+R106</x:f>
        <x:v>-13843091.808009565</x:v>
      </x:c>
      <x:c r="S107" s="101" t="n">
        <x:f>R107+S106</x:f>
        <x:v>-2382892.741761286</x:v>
      </x:c>
      <x:c r="T107" s="101" t="n">
        <x:f>S107+T106</x:f>
        <x:v>11143091.574166968</x:v>
      </x:c>
      <x:c r="U107" s="101" t="n">
        <x:f>T107+U106</x:f>
        <x:v>26801011.637440823</x:v>
      </x:c>
      <x:c r="V107" s="101" t="n">
        <x:f>U107+V106</x:f>
        <x:v>44662182.40885009</x:v>
      </x:c>
      <x:c r="W107" s="101" t="n">
        <x:f>V107+W106</x:f>
        <x:v>64803248.68855296</x:v>
      </x:c>
      <x:c r="X107" s="101" t="n">
        <x:f>W107+X106</x:f>
        <x:v>87306363.40347797</x:v>
      </x:c>
      <x:c r="Y107" s="101" t="n">
        <x:f>X107+Y106</x:f>
        <x:v>112259379.21932435</x:v>
      </x:c>
      <x:c r="Z107" s="101" t="n">
        <x:f>Y107+Z106</x:f>
        <x:v>139756053.92287943</x:v>
      </x:c>
    </x:row>
    <x:row r="108" ht="15" hidden="1" customHeight="1">
      <x:c r="A108" s="100" t="s">
        <x:v>430</x:v>
      </x:c>
      <x:c r="B108" s="101" t="n">
        <x:f>B106</x:f>
        <x:v>-52140000</x:v>
      </x:c>
      <x:c r="C108" s="101" t="n">
        <x:f t="shared" ref="C108" si="25">B108+C106</x:f>
        <x:v>-68491937.0208</x:v>
      </x:c>
      <x:c r="D108" s="101" t="n">
        <x:f>C108+D106</x:f>
        <x:v>-83223831.0624</x:v>
      </x:c>
      <x:c r="E108" s="101" t="n">
        <x:f>D108+E106</x:f>
        <x:v>-96339061.967352</x:v>
      </x:c>
      <x:c r="F108" s="101" t="n">
        <x:f>E108+F106</x:f>
        <x:v>-107836959.47076</x:v>
      </x:c>
      <x:c r="G108" s="101" t="n">
        <x:f>F108+G106</x:f>
        <x:v>-117712811.64988638</x:v>
      </x:c>
      <x:c r="H108" s="101" t="n">
        <x:f>G108+H106</x:f>
        <x:v>-125957863.24848966</x:v>
      </x:c>
      <x:c r="I108" s="101" t="n">
        <x:f>H108+I106</x:f>
        <x:v>-132559303.89701766</x:v>
      </x:c>
      <x:c r="J108" s="101" t="n">
        <x:f>I108+J106</x:f>
        <x:v>-137500246.2244669</x:v>
      </x:c>
      <x:c r="K108" s="101" t="n">
        <x:f>J108+K106</x:f>
        <x:v>-140759693.83245865</x:v>
      </x:c>
      <x:c r="L108" s="101" t="n">
        <x:f>K108+L106</x:f>
        <x:v>-142312499.07681158</x:v>
      </x:c>
      <x:c r="M108" s="101" t="n">
        <x:f>L108+M106</x:f>
        <x:v>-142129310.57654566</x:v>
      </x:c>
      <x:c r="N108" s="101" t="n">
        <x:f>M108+N106</x:f>
        <x:v>-140176510.34477177</x:v>
      </x:c>
      <x:c r="O108" s="101" t="n">
        <x:f>N108+O106</x:f>
        <x:v>-136416140.41023925</x:v>
      </x:c>
      <x:c r="P108" s="101" t="n">
        <x:f>O108+P106</x:f>
        <x:v>-130805818.77236864</x:v>
      </x:c>
      <x:c r="Q108" s="101" t="n">
        <x:f>P108+Q106</x:f>
        <x:v>-123298644.50632364</x:v>
      </x:c>
      <x:c r="R108" s="101" t="n">
        <x:f>Q108+R106</x:f>
        <x:v>-113843091.80800956</x:v>
      </x:c>
      <x:c r="S108" s="101" t="n">
        <x:f>R108+S106</x:f>
        <x:v>-102382892.74176128</x:v>
      </x:c>
      <x:c r="T108" s="101" t="n">
        <x:f>S108+T106</x:f>
        <x:v>-88856908.42583303</x:v>
      </x:c>
      <x:c r="U108" s="101" t="n">
        <x:f>T108+U106</x:f>
        <x:v>-73198988.36255917</x:v>
      </x:c>
      <x:c r="V108" s="101" t="n">
        <x:f>U108+V106</x:f>
        <x:v>-55337817.5911499</x:v>
      </x:c>
      <x:c r="W108" s="101" t="n">
        <x:f>V108+W106</x:f>
        <x:v>-35196751.311447024</x:v>
      </x:c>
      <x:c r="X108" s="101" t="n">
        <x:f>W108+X106</x:f>
        <x:v>-12693636.596522026</x:v>
      </x:c>
      <x:c r="Y108" s="101" t="n">
        <x:f>X108+Y106</x:f>
        <x:v>12259379.21932435</x:v>
      </x:c>
      <x:c r="Z108" s="101" t="n">
        <x:f>Y108+Z106</x:f>
        <x:v>39756053.92287943</x:v>
      </x:c>
    </x:row>
    <x:row r="109" ht="15" hidden="1" customHeight="1"/>
    <x:row r="110" ht="15" hidden="1" customHeight="1">
      <x:c r="A110" s="100" t="s">
        <x:v>431</x:v>
      </x:c>
      <x:c r="C110" s="102" t="n">
        <x:f>$D$83*(1+$E$83)^0</x:f>
        <x:v>10</x:v>
      </x:c>
      <x:c r="D110" s="102" t="n">
        <x:f>$D$83*(1+$E$83)^1</x:f>
        <x:v>10.5</x:v>
      </x:c>
      <x:c r="E110" s="102" t="n">
        <x:f>$D$83*(1+$E$83)^2</x:f>
        <x:v>11.025</x:v>
      </x:c>
      <x:c r="F110" s="102" t="n">
        <x:f>$D$83*(1+$E$83)^3</x:f>
        <x:v>11.576250000000002</x:v>
      </x:c>
      <x:c r="G110" s="102" t="n">
        <x:f>$D$83*(1+$E$83)^4</x:f>
        <x:v>12.155062500000003</x:v>
      </x:c>
      <x:c r="H110" s="102" t="n">
        <x:f>$D$83*(1+$E$83)^5</x:f>
        <x:v>12.762815625000004</x:v>
      </x:c>
      <x:c r="I110" s="102" t="n">
        <x:f>$D$83*(1+$E$83)^6</x:f>
        <x:v>13.400956406250003</x:v>
      </x:c>
      <x:c r="J110" s="102" t="n">
        <x:f>$D$83*(1+$E$83)^7</x:f>
        <x:v>14.071004226562504</x:v>
      </x:c>
      <x:c r="K110" s="102" t="n">
        <x:f>$D$83*(1+$E$83)^8</x:f>
        <x:v>14.77455443789063</x:v>
      </x:c>
      <x:c r="L110" s="102" t="n">
        <x:f>$D$83*(1+$E$83)^9</x:f>
        <x:v>15.513282159785163</x:v>
      </x:c>
      <x:c r="M110" s="102" t="n">
        <x:f>$D$83*(1+$E$83)^10</x:f>
        <x:v>16.28894626777442</x:v>
      </x:c>
      <x:c r="N110" s="102" t="n">
        <x:f>$D$83*(1+$E$83)^11</x:f>
        <x:v>17.103393581163143</x:v>
      </x:c>
      <x:c r="O110" s="102" t="n">
        <x:f>$D$83*(1+$E$83)^12</x:f>
        <x:v>17.9585632602213</x:v>
      </x:c>
      <x:c r="P110" s="102" t="n">
        <x:f>$D$83*(1+$E$83)^13</x:f>
        <x:v>18.856491423232367</x:v>
      </x:c>
      <x:c r="Q110" s="102" t="n">
        <x:f>$D$83*(1+$E$83)^14</x:f>
        <x:v>19.799315994393986</x:v>
      </x:c>
      <x:c r="R110" s="102" t="n">
        <x:f>$D$83*(1+$E$83)^15</x:f>
        <x:v>20.789281794113688</x:v>
      </x:c>
      <x:c r="S110" s="102" t="n">
        <x:f>$D$83*(1+$E$83)^16</x:f>
        <x:v>21.82874588381937</x:v>
      </x:c>
      <x:c r="T110" s="102" t="n">
        <x:f>$D$83*(1+$E$83)^17</x:f>
        <x:v>22.92018317801034</x:v>
      </x:c>
      <x:c r="U110" s="102" t="n">
        <x:f>$D$83*(1+$E$83)^18</x:f>
        <x:v>24.066192336910856</x:v>
      </x:c>
      <x:c r="V110" s="102" t="n">
        <x:f>$D$83*(1+$E$83)^19</x:f>
        <x:v>25.269501953756404</x:v>
      </x:c>
      <x:c r="W110" s="102" t="n">
        <x:f>$D$83*(1+$E$83)^20</x:f>
        <x:v>26.53297705144422</x:v>
      </x:c>
      <x:c r="X110" s="102" t="n">
        <x:f>$D$83*(1+$E$83)^21</x:f>
        <x:v>27.859625904016436</x:v>
      </x:c>
      <x:c r="Y110" s="102" t="n">
        <x:f>$D$83*(1+$E$83)^22</x:f>
        <x:v>29.25260719921726</x:v>
      </x:c>
      <x:c r="Z110" s="102" t="n">
        <x:f>$D$83*(1+$E$83)^23</x:f>
        <x:v>30.715237559178124</x:v>
      </x:c>
    </x:row>
    <x:row r="111" ht="15" hidden="1" customHeight="1">
      <x:c r="A111" s="100" t="s">
        <x:v>432</x:v>
      </x:c>
      <x:c r="B111" s="100">
        <x:v>0</x:v>
      </x:c>
      <x:c r="C111" s="102" t="n">
        <x:f t="shared" ref="C111" si="26">B111*(1-$F$83)+C110</x:f>
        <x:v>10</x:v>
      </x:c>
      <x:c r="D111" s="102" t="n">
        <x:f>C111*(1-$F$83)+D110</x:f>
        <x:v>19.9</x:v>
      </x:c>
      <x:c r="E111" s="102" t="n">
        <x:f>D111*(1-$F$83)+E110</x:f>
        <x:v>29.730999999999995</x:v>
      </x:c>
      <x:c r="F111" s="102" t="n">
        <x:f>E111*(1-$F$83)+F110</x:f>
        <x:v>39.52338999999999</x:v>
      </x:c>
      <x:c r="G111" s="102" t="n">
        <x:f>F111*(1-$F$83)+G110</x:f>
        <x:v>49.3070491</x:v>
      </x:c>
      <x:c r="H111" s="102" t="n">
        <x:f>G111*(1-$F$83)+H110</x:f>
        <x:v>59.111441778999996</x:v>
      </x:c>
      <x:c r="I111" s="102" t="n">
        <x:f>H111*(1-$F$83)+I110</x:f>
        <x:v>68.96571167850999</x:v>
      </x:c>
      <x:c r="J111" s="102" t="n">
        <x:f>I111*(1-$F$83)+J110</x:f>
        <x:v>78.8987732043619</x:v>
      </x:c>
      <x:c r="K111" s="102" t="n">
        <x:f>J111*(1-$F$83)+K110</x:f>
        <x:v>88.93940124999081</x:v>
      </x:c>
      <x:c r="L111" s="102" t="n">
        <x:f>K111*(1-$F$83)+L110</x:f>
        <x:v>99.11631933477652</x:v>
      </x:c>
      <x:c r="M111" s="102" t="n">
        <x:f>L111*(1-$F$83)+M110</x:f>
        <x:v>109.45828644246434</x:v>
      </x:c>
      <x:c r="N111" s="102" t="n">
        <x:f>M111*(1-$F$83)+N110</x:f>
        <x:v>119.99418283707962</x:v>
      </x:c>
      <x:c r="O111" s="102" t="n">
        <x:f>N111*(1-$F$83)+O110</x:f>
        <x:v>130.75309512707614</x:v>
      </x:c>
      <x:c r="P111" s="102" t="n">
        <x:f>O111*(1-$F$83)+P110</x:f>
        <x:v>141.76440084268393</x:v>
      </x:c>
      <x:c r="Q111" s="102" t="n">
        <x:f>P111*(1-$F$83)+Q110</x:f>
        <x:v>153.0578527865169</x:v>
      </x:c>
      <x:c r="R111" s="102" t="n">
        <x:f>Q111*(1-$F$83)+R110</x:f>
        <x:v>164.66366341343956</x:v>
      </x:c>
      <x:c r="S111" s="102" t="n">
        <x:f>R111*(1-$F$83)+S110</x:f>
        <x:v>176.61258949245257</x:v>
      </x:c>
      <x:c r="T111" s="102" t="n">
        <x:f>S111*(1-$F$83)+T110</x:f>
        <x:v>188.93601730091575</x:v>
      </x:c>
      <x:c r="U111" s="102" t="n">
        <x:f>T111*(1-$F$83)+U110</x:f>
        <x:v>201.66604859977164</x:v>
      </x:c>
      <x:c r="V111" s="102" t="n">
        <x:f>U111*(1-$F$83)+V110</x:f>
        <x:v>214.83558763754172</x:v>
      </x:c>
      <x:c r="W111" s="102" t="n">
        <x:f>V111*(1-$F$83)+W110</x:f>
        <x:v>228.47842943073343</x:v>
      </x:c>
      <x:c r="X111" s="102" t="n">
        <x:f>W111*(1-$F$83)+X110</x:f>
        <x:v>242.62934956890584</x:v>
      </x:c>
      <x:c r="Y111" s="102" t="n">
        <x:f>X111*(1-$F$83)+Y110</x:f>
        <x:v>257.32419579398874</x:v>
      </x:c>
      <x:c r="Z111" s="102" t="n">
        <x:f>Y111*(1-$F$83)+Z110</x:f>
        <x:v>272.59998160552755</x:v>
      </x:c>
    </x:row>
    <x:row r="112" ht="15" hidden="1" customHeight="1">
      <x:c r="A112" s="100" t="s">
        <x:v>433</x:v>
      </x:c>
      <x:c r="B112" s="101" t="n">
        <x:f>-$I$83</x:f>
        <x:v>-52140000</x:v>
      </x:c>
      <x:c r="C112" s="101" t="n">
        <x:f t="shared" ref="C112" si="27">C111*($B$83-$C$83)-C110*$G$83-$H$83</x:f>
        <x:v>-16250414.184</x:v>
      </x:c>
      <x:c r="D112" s="101" t="n">
        <x:f>D111*($B$83-$C$83)-D110*$G$83-$H$83</x:f>
        <x:v>-14547628.226160001</x:v>
      </x:c>
      <x:c r="E112" s="101" t="n">
        <x:f>E111*($B$83-$C$83)-E110*$G$83-$H$83</x:f>
        <x:v>-12865621.3704504</x:v>
      </x:c>
      <x:c r="F112" s="101" t="n">
        <x:f>F111*($B$83-$C$83)-F110*$G$83-$H$83</x:f>
        <x:v>-11199077.467976378</x:v>
      </x:c>
      <x:c r="G112" s="101" t="n">
        <x:f>G111*($B$83-$C$83)-G110*$G$83-$H$83</x:f>
        <x:v>-9542795.868638445</x:v>
      </x:c>
      <x:c r="H112" s="101" t="n">
        <x:f>H111*($B$83-$C$83)-H110*$G$83-$H$83</x:f>
        <x:v>-7891674.317697819</x:v>
      </x:c>
      <x:c r="I112" s="101" t="n">
        <x:f>I111*($B$83-$C$83)-I110*$G$83-$H$83</x:f>
        <x:v>-6240692.36987252</x:v>
      </x:c>
      <x:c r="J112" s="101" t="n">
        <x:f>J111*($B$83-$C$83)-J110*$G$83-$H$83</x:f>
        <x:v>-4584895.264478561</x:v>
      </x:c>
      <x:c r="K112" s="101" t="n">
        <x:f>K111*($B$83-$C$83)-K110*$G$83-$H$83</x:f>
        <x:v>-2919378.2072481625</x:v>
      </x:c>
      <x:c r="L112" s="101" t="n">
        <x:f>L111*($B$83-$C$83)-L110*$G$83-$H$83</x:f>
        <x:v>-1239271.006383501</x:v>
      </x:c>
      <x:c r="M112" s="101" t="n">
        <x:f>M111*($B$83-$C$83)-M110*$G$83-$H$83</x:f>
        <x:v>460276.9878507666</x:v>
      </x:c>
      <x:c r="N112" s="101" t="n">
        <x:f>N111*($B$83-$C$83)-N110*$G$83-$H$83</x:f>
        <x:v>2184111.689123541</x:v>
      </x:c>
      <x:c r="O112" s="101" t="n">
        <x:f>O111*($B$83-$C$83)-O110*$G$83-$H$83</x:f>
        <x:v>3937088.874347139</x:v>
      </x:c>
      <x:c r="P112" s="101" t="n">
        <x:f>P111*($B$83-$C$83)-P110*$G$83-$H$83</x:f>
        <x:v>5724088.622785874</x:v>
      </x:c>
      <x:c r="Q112" s="101" t="n">
        <x:f>Q111*($B$83-$C$83)-Q110*$G$83-$H$83</x:f>
        <x:v>7550029.640363265</x:v>
      </x:c>
      <x:c r="R112" s="101" t="n">
        <x:f>R111*($B$83-$C$83)-R110*$G$83-$H$83</x:f>
        <x:v>9419883.513633236</x:v>
      </x:c>
      <x:c r="S112" s="101" t="n">
        <x:f>S111*($B$83-$C$83)-S110*$G$83-$H$83</x:f>
        <x:v>11338688.937091608</x:v>
      </x:c>
      <x:c r="T112" s="101" t="n">
        <x:f>T111*($B$83-$C$83)-T110*$G$83-$H$83</x:f>
        <x:v>13311565.956856284</x:v>
      </x:c>
      <x:c r="U112" s="101" t="n">
        <x:f>U111*($B$83-$C$83)-U110*$G$83-$H$83</x:f>
        <x:v>15343730.273234583</x:v>
      </x:c>
      <x:c r="V112" s="101" t="n">
        <x:f>V111*($B$83-$C$83)-V110*$G$83-$H$83</x:f>
        <x:v>17440507.64431968</x:v>
      </x:c>
      <x:c r="W112" s="101" t="n">
        <x:f>W111*($B$83-$C$83)-W110*$G$83-$H$83</x:f>
        <x:v>19607348.432513624</x:v>
      </x:c>
      <x:c r="X112" s="101" t="n">
        <x:f>X111*($B$83-$C$83)-X110*$G$83-$H$83</x:f>
        <x:v>21849842.33575859</x:v>
      </x:c>
      <x:c r="Y112" s="101" t="n">
        <x:f>Y111*($B$83-$C$83)-Y110*$G$83-$H$83</x:f>
        <x:v>24173733.345268644</x:v>
      </x:c>
      <x:c r="Z112" s="101" t="n">
        <x:f>Z111*($B$83-$C$83)-Z110*$G$83-$H$83</x:f>
        <x:v>26584934.971690886</x:v>
      </x:c>
    </x:row>
    <x:row r="113" ht="15" hidden="1" customHeight="1">
      <x:c r="A113" s="100" t="s">
        <x:v>434</x:v>
      </x:c>
      <x:c r="B113" s="101" t="n">
        <x:f>$J$83+B112</x:f>
        <x:v>47860000</x:v>
      </x:c>
      <x:c r="C113" s="101" t="n">
        <x:f t="shared" ref="C113" si="28">B113+C112</x:f>
        <x:v>31609585.816</x:v>
      </x:c>
      <x:c r="D113" s="101" t="n">
        <x:f>C113+D112</x:f>
        <x:v>17061957.58984</x:v>
      </x:c>
      <x:c r="E113" s="101" t="n">
        <x:f>D113+E112</x:f>
        <x:v>4196336.219389599</x:v>
      </x:c>
      <x:c r="F113" s="101" t="n">
        <x:f>E113+F112</x:f>
        <x:v>-7002741.248586779</x:v>
      </x:c>
      <x:c r="G113" s="101" t="n">
        <x:f>F113+G112</x:f>
        <x:v>-16545537.117225224</x:v>
      </x:c>
      <x:c r="H113" s="101" t="n">
        <x:f>G113+H112</x:f>
        <x:v>-24437211.434923045</x:v>
      </x:c>
      <x:c r="I113" s="101" t="n">
        <x:f>H113+I112</x:f>
        <x:v>-30677903.804795563</x:v>
      </x:c>
      <x:c r="J113" s="101" t="n">
        <x:f>I113+J112</x:f>
        <x:v>-35262799.06927413</x:v>
      </x:c>
      <x:c r="K113" s="101" t="n">
        <x:f>J113+K112</x:f>
        <x:v>-38182177.27652229</x:v>
      </x:c>
      <x:c r="L113" s="101" t="n">
        <x:f>K113+L112</x:f>
        <x:v>-39421448.282905795</x:v>
      </x:c>
      <x:c r="M113" s="101" t="n">
        <x:f>L113+M112</x:f>
        <x:v>-38961171.29505503</x:v>
      </x:c>
      <x:c r="N113" s="101" t="n">
        <x:f>M113+N112</x:f>
        <x:v>-36777059.60593149</x:v>
      </x:c>
      <x:c r="O113" s="101" t="n">
        <x:f>N113+O112</x:f>
        <x:v>-32839970.73158435</x:v>
      </x:c>
      <x:c r="P113" s="101" t="n">
        <x:f>O113+P112</x:f>
        <x:v>-27115882.108798478</x:v>
      </x:c>
      <x:c r="Q113" s="101" t="n">
        <x:f>P113+Q112</x:f>
        <x:v>-19565852.468435213</x:v>
      </x:c>
      <x:c r="R113" s="101" t="n">
        <x:f>Q113+R112</x:f>
        <x:v>-10145968.954801977</x:v>
      </x:c>
      <x:c r="S113" s="101" t="n">
        <x:f>R113+S112</x:f>
        <x:v>1192719.982289631</x:v>
      </x:c>
      <x:c r="T113" s="101" t="n">
        <x:f>S113+T112</x:f>
        <x:v>14504285.939145915</x:v>
      </x:c>
      <x:c r="U113" s="101" t="n">
        <x:f>T113+U112</x:f>
        <x:v>29848016.2123805</x:v>
      </x:c>
      <x:c r="V113" s="101" t="n">
        <x:f>U113+V112</x:f>
        <x:v>47288523.85670018</x:v>
      </x:c>
      <x:c r="W113" s="101" t="n">
        <x:f>V113+W112</x:f>
        <x:v>66895872.28921381</x:v>
      </x:c>
      <x:c r="X113" s="101" t="n">
        <x:f>W113+X112</x:f>
        <x:v>88745714.6249724</x:v>
      </x:c>
      <x:c r="Y113" s="101" t="n">
        <x:f>X113+Y112</x:f>
        <x:v>112919447.97024104</x:v>
      </x:c>
      <x:c r="Z113" s="101" t="n">
        <x:f>Y113+Z112</x:f>
        <x:v>139504382.94193193</x:v>
      </x:c>
    </x:row>
    <x:row r="114" ht="15" hidden="1" customHeight="1">
      <x:c r="A114" s="100" t="s">
        <x:v>435</x:v>
      </x:c>
      <x:c r="B114" s="101" t="n">
        <x:f>B112</x:f>
        <x:v>-52140000</x:v>
      </x:c>
      <x:c r="C114" s="101" t="n">
        <x:f t="shared" ref="C114" si="29">B114+C112</x:f>
        <x:v>-68390414.184</x:v>
      </x:c>
      <x:c r="D114" s="101" t="n">
        <x:f>C114+D112</x:f>
        <x:v>-82938042.41016</x:v>
      </x:c>
      <x:c r="E114" s="101" t="n">
        <x:f>D114+E112</x:f>
        <x:v>-95803663.78061041</x:v>
      </x:c>
      <x:c r="F114" s="101" t="n">
        <x:f>E114+F112</x:f>
        <x:v>-107002741.24858679</x:v>
      </x:c>
      <x:c r="G114" s="101" t="n">
        <x:f>F114+G112</x:f>
        <x:v>-116545537.11722523</x:v>
      </x:c>
      <x:c r="H114" s="101" t="n">
        <x:f>G114+H112</x:f>
        <x:v>-124437211.43492305</x:v>
      </x:c>
      <x:c r="I114" s="101" t="n">
        <x:f>H114+I112</x:f>
        <x:v>-130677903.80479558</x:v>
      </x:c>
      <x:c r="J114" s="101" t="n">
        <x:f>I114+J112</x:f>
        <x:v>-135262799.06927413</x:v>
      </x:c>
      <x:c r="K114" s="101" t="n">
        <x:f>J114+K112</x:f>
        <x:v>-138182177.27652228</x:v>
      </x:c>
      <x:c r="L114" s="101" t="n">
        <x:f>K114+L112</x:f>
        <x:v>-139421448.2829058</x:v>
      </x:c>
      <x:c r="M114" s="101" t="n">
        <x:f>L114+M112</x:f>
        <x:v>-138961171.29505503</x:v>
      </x:c>
      <x:c r="N114" s="101" t="n">
        <x:f>M114+N112</x:f>
        <x:v>-136777059.6059315</x:v>
      </x:c>
      <x:c r="O114" s="101" t="n">
        <x:f>N114+O112</x:f>
        <x:v>-132839970.73158436</x:v>
      </x:c>
      <x:c r="P114" s="101" t="n">
        <x:f>O114+P112</x:f>
        <x:v>-127115882.10879847</x:v>
      </x:c>
      <x:c r="Q114" s="101" t="n">
        <x:f>P114+Q112</x:f>
        <x:v>-119565852.46843521</x:v>
      </x:c>
      <x:c r="R114" s="101" t="n">
        <x:f>Q114+R112</x:f>
        <x:v>-110145968.95480198</x:v>
      </x:c>
      <x:c r="S114" s="101" t="n">
        <x:f>R114+S112</x:f>
        <x:v>-98807280.01771037</x:v>
      </x:c>
      <x:c r="T114" s="101" t="n">
        <x:f>S114+T112</x:f>
        <x:v>-85495714.06085409</x:v>
      </x:c>
      <x:c r="U114" s="101" t="n">
        <x:f>T114+U112</x:f>
        <x:v>-70151983.7876195</x:v>
      </x:c>
      <x:c r="V114" s="101" t="n">
        <x:f>U114+V112</x:f>
        <x:v>-52711476.14329982</x:v>
      </x:c>
      <x:c r="W114" s="101" t="n">
        <x:f>V114+W112</x:f>
        <x:v>-33104127.710786194</x:v>
      </x:c>
      <x:c r="X114" s="101" t="n">
        <x:f>W114+X112</x:f>
        <x:v>-11254285.375027604</x:v>
      </x:c>
      <x:c r="Y114" s="101" t="n">
        <x:f>X114+Y112</x:f>
        <x:v>12919447.97024104</x:v>
      </x:c>
      <x:c r="Z114" s="101" t="n">
        <x:f>Y114+Z112</x:f>
        <x:v>39504382.941931926</x:v>
      </x:c>
    </x:row>
    <x:row r="115" ht="15" hidden="1" customHeight="1"/>
    <x:row r="116" ht="15" hidden="1" customHeight="1">
      <x:c r="A116" s="100" t="s">
        <x:v>436</x:v>
      </x:c>
      <x:c r="C116" s="102" t="n">
        <x:f>$D$84*(1+$E$84)^0</x:f>
        <x:v>10</x:v>
      </x:c>
      <x:c r="D116" s="102" t="n">
        <x:f>$D$84*(1+$E$84)^1</x:f>
        <x:v>10.5</x:v>
      </x:c>
      <x:c r="E116" s="102" t="n">
        <x:f>$D$84*(1+$E$84)^2</x:f>
        <x:v>11.025</x:v>
      </x:c>
      <x:c r="F116" s="102" t="n">
        <x:f>$D$84*(1+$E$84)^3</x:f>
        <x:v>11.576250000000002</x:v>
      </x:c>
      <x:c r="G116" s="102" t="n">
        <x:f>$D$84*(1+$E$84)^4</x:f>
        <x:v>12.155062500000003</x:v>
      </x:c>
      <x:c r="H116" s="102" t="n">
        <x:f>$D$84*(1+$E$84)^5</x:f>
        <x:v>12.762815625000004</x:v>
      </x:c>
      <x:c r="I116" s="102" t="n">
        <x:f>$D$84*(1+$E$84)^6</x:f>
        <x:v>13.400956406250003</x:v>
      </x:c>
      <x:c r="J116" s="102" t="n">
        <x:f>$D$84*(1+$E$84)^7</x:f>
        <x:v>14.071004226562504</x:v>
      </x:c>
      <x:c r="K116" s="102" t="n">
        <x:f>$D$84*(1+$E$84)^8</x:f>
        <x:v>14.77455443789063</x:v>
      </x:c>
      <x:c r="L116" s="102" t="n">
        <x:f>$D$84*(1+$E$84)^9</x:f>
        <x:v>15.513282159785163</x:v>
      </x:c>
      <x:c r="M116" s="102" t="n">
        <x:f>$D$84*(1+$E$84)^10</x:f>
        <x:v>16.28894626777442</x:v>
      </x:c>
      <x:c r="N116" s="102" t="n">
        <x:f>$D$84*(1+$E$84)^11</x:f>
        <x:v>17.103393581163143</x:v>
      </x:c>
      <x:c r="O116" s="102" t="n">
        <x:f>$D$84*(1+$E$84)^12</x:f>
        <x:v>17.9585632602213</x:v>
      </x:c>
      <x:c r="P116" s="102" t="n">
        <x:f>$D$84*(1+$E$84)^13</x:f>
        <x:v>18.856491423232367</x:v>
      </x:c>
      <x:c r="Q116" s="102" t="n">
        <x:f>$D$84*(1+$E$84)^14</x:f>
        <x:v>19.799315994393986</x:v>
      </x:c>
      <x:c r="R116" s="102" t="n">
        <x:f>$D$84*(1+$E$84)^15</x:f>
        <x:v>20.789281794113688</x:v>
      </x:c>
      <x:c r="S116" s="102" t="n">
        <x:f>$D$84*(1+$E$84)^16</x:f>
        <x:v>21.82874588381937</x:v>
      </x:c>
      <x:c r="T116" s="102" t="n">
        <x:f>$D$84*(1+$E$84)^17</x:f>
        <x:v>22.92018317801034</x:v>
      </x:c>
      <x:c r="U116" s="102" t="n">
        <x:f>$D$84*(1+$E$84)^18</x:f>
        <x:v>24.066192336910856</x:v>
      </x:c>
      <x:c r="V116" s="102" t="n">
        <x:f>$D$84*(1+$E$84)^19</x:f>
        <x:v>25.269501953756404</x:v>
      </x:c>
      <x:c r="W116" s="102" t="n">
        <x:f>$D$84*(1+$E$84)^20</x:f>
        <x:v>26.53297705144422</x:v>
      </x:c>
      <x:c r="X116" s="102" t="n">
        <x:f>$D$84*(1+$E$84)^21</x:f>
        <x:v>27.859625904016436</x:v>
      </x:c>
      <x:c r="Y116" s="102" t="n">
        <x:f>$D$84*(1+$E$84)^22</x:f>
        <x:v>29.25260719921726</x:v>
      </x:c>
      <x:c r="Z116" s="102" t="n">
        <x:f>$D$84*(1+$E$84)^23</x:f>
        <x:v>30.715237559178124</x:v>
      </x:c>
    </x:row>
    <x:row r="117" ht="15" hidden="1" customHeight="1">
      <x:c r="A117" s="100" t="s">
        <x:v>437</x:v>
      </x:c>
      <x:c r="B117" s="100">
        <x:v>0</x:v>
      </x:c>
      <x:c r="C117" s="102" t="n">
        <x:f t="shared" ref="C117" si="30">B117*(1-$F$84)+C116</x:f>
        <x:v>10</x:v>
      </x:c>
      <x:c r="D117" s="102" t="n">
        <x:f>C117*(1-$F$84)+D116</x:f>
        <x:v>20</x:v>
      </x:c>
      <x:c r="E117" s="102" t="n">
        <x:f>D117*(1-$F$84)+E116</x:f>
        <x:v>30.025</x:v>
      </x:c>
      <x:c r="F117" s="102" t="n">
        <x:f>E117*(1-$F$84)+F116</x:f>
        <x:v>40.099999999999994</x:v>
      </x:c>
      <x:c r="G117" s="102" t="n">
        <x:f>F117*(1-$F$84)+G116</x:f>
        <x:v>50.2500625</x:v>
      </x:c>
      <x:c r="H117" s="102" t="n">
        <x:f>G117*(1-$F$84)+H116</x:f>
        <x:v>60.500375</x:v>
      </x:c>
      <x:c r="I117" s="102" t="n">
        <x:f>H117*(1-$F$84)+I116</x:f>
        <x:v>70.87631265625001</x:v>
      </x:c>
      <x:c r="J117" s="102" t="n">
        <x:f>I117*(1-$F$84)+J116</x:f>
        <x:v>81.40350125</x:v>
      </x:c>
      <x:c r="K117" s="102" t="n">
        <x:f>J117*(1-$F$84)+K116</x:f>
        <x:v>92.10788062539064</x:v>
      </x:c>
      <x:c r="L117" s="102" t="n">
        <x:f>K117*(1-$F$84)+L116</x:f>
        <x:v>103.01576875390626</x:v>
      </x:c>
      <x:c r="M117" s="102" t="n">
        <x:f>L117*(1-$F$84)+M116</x:f>
        <x:v>114.15392658398537</x:v>
      </x:c>
      <x:c r="N117" s="102" t="n">
        <x:f>M117*(1-$F$84)+N116</x:f>
        <x:v>125.54962383594923</x:v>
      </x:c>
      <x:c r="O117" s="102" t="n">
        <x:f>N117*(1-$F$84)+O116</x:f>
        <x:v>137.23070590437308</x:v>
      </x:c>
      <x:c r="P117" s="102" t="n">
        <x:f>O117*(1-$F$84)+P116</x:f>
        <x:v>149.2256620323868</x:v>
      </x:c>
      <x:c r="Q117" s="102" t="n">
        <x:f>P117*(1-$F$84)+Q116</x:f>
        <x:v>161.56369492516143</x:v>
      </x:c>
      <x:c r="R117" s="102" t="n">
        <x:f>Q117*(1-$F$84)+R116</x:f>
        <x:v>174.27479197301705</x:v>
      </x:c>
      <x:c r="S117" s="102" t="n">
        <x:f>R117*(1-$F$84)+S116</x:f>
        <x:v>187.38979825818558</x:v>
      </x:c>
      <x:c r="T117" s="102" t="n">
        <x:f>S117*(1-$F$84)+T116</x:f>
        <x:v>200.94049152328665</x:v>
      </x:c>
      <x:c r="U117" s="102" t="n">
        <x:f>T117*(1-$F$84)+U116</x:f>
        <x:v>214.95965928403317</x:v>
      </x:c>
      <x:c r="V117" s="102" t="n">
        <x:f>U117*(1-$F$84)+V116</x:f>
        <x:v>229.4811782735879</x:v>
      </x:c>
      <x:c r="W117" s="102" t="n">
        <x:f>V117*(1-$F$84)+W116</x:f>
        <x:v>244.5400964113527</x:v>
      </x:c>
      <x:c r="X117" s="102" t="n">
        <x:f>W117*(1-$F$84)+X116</x:f>
        <x:v>260.1727174948015</x:v>
      </x:c>
      <x:c r="Y117" s="102" t="n">
        <x:f>X117*(1-$F$84)+Y116</x:f>
        <x:v>276.41668881927865</x:v>
      </x:c>
      <x:c r="Z117" s="102" t="n">
        <x:f>Y117*(1-$F$84)+Z116</x:f>
        <x:v>293.31109193749285</x:v>
      </x:c>
    </x:row>
    <x:row r="118" ht="15" hidden="1" customHeight="1">
      <x:c r="A118" s="100" t="s">
        <x:v>438</x:v>
      </x:c>
      <x:c r="B118" s="101" t="n">
        <x:f>-$I$84</x:f>
        <x:v>-52140000</x:v>
      </x:c>
      <x:c r="C118" s="101" t="n">
        <x:f t="shared" ref="C118" si="31">C117*($B$84-$C$84)-C116*$G$84-$H$84</x:f>
        <x:v>-16876094.184</x:v>
      </x:c>
      <x:c r="D118" s="101" t="n">
        <x:f>D117*($B$84-$C$84)-D116*$G$84-$H$84</x:f>
        <x:v>-15185812.368</x:v>
      </x:c>
      <x:c r="E118" s="101" t="n">
        <x:f>E117*($B$84-$C$84)-E116*$G$84-$H$84</x:f>
        <x:v>-13500220.78746</x:v>
      </x:c>
      <x:c r="F118" s="101" t="n">
        <x:f>F117*($B$84-$C$84)-F116*$G$84-$H$84</x:f>
        <x:v>-11815093.73784</x:v>
      </x:c>
      <x:c r="G118" s="101" t="n">
        <x:f>G117*($B$84-$C$84)-G116*$G$84-$H$84</x:f>
        <x:v>-10126217.24018865</x:v>
      </x:c>
      <x:c r="H118" s="101" t="n">
        <x:f>H117*($B$84-$C$84)-H116*$G$84-$H$84</x:f>
        <x:v>-8429378.476881903</x:v>
      </x:c>
      <x:c r="I118" s="101" t="n">
        <x:f>I117*($B$84-$C$84)-I116*$G$84-$H$84</x:f>
        <x:v>-6720355.2566756215</x:v>
      </x:c>
      <x:c r="J118" s="101" t="n">
        <x:f>J117*($B$84-$C$84)-J116*$G$84-$H$84</x:f>
        <x:v>-4994905.482661549</x:v>
      </x:c>
      <x:c r="K118" s="101" t="n">
        <x:f>K117*($B$84-$C$84)-K116*$G$84-$H$84</x:f>
        <x:v>-3248756.5967891626</x:v>
      </x:c>
      <x:c r="L118" s="101" t="n">
        <x:f>L117*($B$84-$C$84)-L116*$G$84-$H$84</x:f>
        <x:v>-1477594.9746234324</x:v>
      </x:c>
      <x:c r="M118" s="101" t="n">
        <x:f>M117*($B$84-$C$84)-M116*$G$84-$H$84</x:f>
        <x:v>322944.75605032593</x:v>
      </x:c>
      <x:c r="N118" s="101" t="n">
        <x:f>N117*($B$84-$C$84)-N116*$G$84-$H$84</x:f>
        <x:v>2157290.4992875233</x:v>
      </x:c>
      <x:c r="O118" s="101" t="n">
        <x:f>O117*($B$84-$C$84)-O116*$G$84-$H$84</x:f>
        <x:v>4029943.6044148505</x:v>
      </x:c>
      <x:c r="P118" s="101" t="n">
        <x:f>P117*($B$84-$C$84)-P116*$G$84-$H$84</x:f>
        <x:v>5945489.935790397</x:v>
      </x:c>
      <x:c r="Q118" s="101" t="n">
        <x:f>Q117*($B$84-$C$84)-Q116*$G$84-$H$84</x:f>
        <x:v>7908611.126176979</x:v>
      </x:c>
      <x:c r="R118" s="101" t="n">
        <x:f>R117*($B$84-$C$84)-R116*$G$84-$H$84</x:f>
        <x:v>9924096.041403037</x:v>
      </x:c>
      <x:c r="S118" s="101" t="n">
        <x:f>S117*($B$84-$C$84)-S116*$G$84-$H$84</x:f>
        <x:v>11996852.48444454</x:v>
      </x:c>
      <x:c r="T118" s="101" t="n">
        <x:f>T117*($B$84-$C$84)-T116*$G$84-$H$84</x:f>
        <x:v>14131919.167589553</x:v>
      </x:c>
      <x:c r="U118" s="101" t="n">
        <x:f>U117*($B$84-$C$84)-U116*$G$84-$H$84</x:f>
        <x:v>16334477.981945671</x:v>
      </x:c>
      <x:c r="V118" s="101" t="n">
        <x:f>V117*($B$84-$C$84)-V116*$G$84-$H$84</x:f>
        <x:v>18609866.594220757</x:v>
      </x:c>
      <x:c r="W118" s="101" t="n">
        <x:f>W117*($B$84-$C$84)-W116*$G$84-$H$84</x:f>
        <x:v>20963591.401450716</x:v>
      </x:c>
      <x:c r="X118" s="101" t="n">
        <x:f>X117*($B$84-$C$84)-X116*$G$84-$H$84</x:f>
        <x:v>23401340.875166222</x:v>
      </x:c>
      <x:c r="Y118" s="101" t="n">
        <x:f>Y117*($B$84-$C$84)-Y116*$G$84-$H$84</x:f>
        <x:v>25928999.32738536</x:v>
      </x:c>
      <x:c r="Z118" s="101" t="n">
        <x:f>Z117*($B$84-$C$84)-Z116*$G$84-$H$84</x:f>
        <x:v>28552661.13179241</x:v>
      </x:c>
    </x:row>
    <x:row r="119" ht="15" hidden="1" customHeight="1">
      <x:c r="A119" s="100" t="s">
        <x:v>439</x:v>
      </x:c>
      <x:c r="B119" s="101" t="n">
        <x:f>$J$84+B118</x:f>
        <x:v>47860000</x:v>
      </x:c>
      <x:c r="C119" s="101" t="n">
        <x:f t="shared" ref="C119" si="32">B119+C118</x:f>
        <x:v>30983905.816</x:v>
      </x:c>
      <x:c r="D119" s="101" t="n">
        <x:f>C119+D118</x:f>
        <x:v>15798093.447999999</x:v>
      </x:c>
      <x:c r="E119" s="101" t="n">
        <x:f>D119+E118</x:f>
        <x:v>2297872.6605399996</x:v>
      </x:c>
      <x:c r="F119" s="101" t="n">
        <x:f>E119+F118</x:f>
        <x:v>-9517221.077300001</x:v>
      </x:c>
      <x:c r="G119" s="101" t="n">
        <x:f>F119+G118</x:f>
        <x:v>-19643438.31748865</x:v>
      </x:c>
      <x:c r="H119" s="101" t="n">
        <x:f>G119+H118</x:f>
        <x:v>-28072816.794370554</x:v>
      </x:c>
      <x:c r="I119" s="101" t="n">
        <x:f>H119+I118</x:f>
        <x:v>-34793172.05104618</x:v>
      </x:c>
      <x:c r="J119" s="101" t="n">
        <x:f>I119+J118</x:f>
        <x:v>-39788077.53370772</x:v>
      </x:c>
      <x:c r="K119" s="101" t="n">
        <x:f>J119+K118</x:f>
        <x:v>-43036834.13049689</x:v>
      </x:c>
      <x:c r="L119" s="101" t="n">
        <x:f>K119+L118</x:f>
        <x:v>-44514429.10512032</x:v>
      </x:c>
      <x:c r="M119" s="101" t="n">
        <x:f>L119+M118</x:f>
        <x:v>-44191484.34907</x:v>
      </x:c>
      <x:c r="N119" s="101" t="n">
        <x:f>M119+N118</x:f>
        <x:v>-42034193.849782474</x:v>
      </x:c>
      <x:c r="O119" s="101" t="n">
        <x:f>N119+O118</x:f>
        <x:v>-38004250.245367624</x:v>
      </x:c>
      <x:c r="P119" s="101" t="n">
        <x:f>O119+P118</x:f>
        <x:v>-32058760.309577227</x:v>
      </x:c>
      <x:c r="Q119" s="101" t="n">
        <x:f>P119+Q118</x:f>
        <x:v>-24150149.183400247</x:v>
      </x:c>
      <x:c r="R119" s="101" t="n">
        <x:f>Q119+R118</x:f>
        <x:v>-14226053.14199721</x:v>
      </x:c>
      <x:c r="S119" s="101" t="n">
        <x:f>R119+S118</x:f>
        <x:v>-2229200.6575526707</x:v>
      </x:c>
      <x:c r="T119" s="101" t="n">
        <x:f>S119+T118</x:f>
        <x:v>11902718.510036882</x:v>
      </x:c>
      <x:c r="U119" s="101" t="n">
        <x:f>T119+U118</x:f>
        <x:v>28237196.491982553</x:v>
      </x:c>
      <x:c r="V119" s="101" t="n">
        <x:f>U119+V118</x:f>
        <x:v>46847063.08620331</x:v>
      </x:c>
      <x:c r="W119" s="101" t="n">
        <x:f>V119+W118</x:f>
        <x:v>67810654.48765403</x:v>
      </x:c>
      <x:c r="X119" s="101" t="n">
        <x:f>W119+X118</x:f>
        <x:v>91211995.36282025</x:v>
      </x:c>
      <x:c r="Y119" s="101" t="n">
        <x:f>X119+Y118</x:f>
        <x:v>117140994.6902056</x:v>
      </x:c>
      <x:c r="Z119" s="101" t="n">
        <x:f>Y119+Z118</x:f>
        <x:v>145693655.821998</x:v>
      </x:c>
    </x:row>
    <x:row r="120" ht="15" hidden="1" customHeight="1">
      <x:c r="A120" s="100" t="s">
        <x:v>440</x:v>
      </x:c>
      <x:c r="B120" s="101" t="n">
        <x:f>B118</x:f>
        <x:v>-52140000</x:v>
      </x:c>
      <x:c r="C120" s="101" t="n">
        <x:f t="shared" ref="C120" si="33">B120+C118</x:f>
        <x:v>-69016094.184</x:v>
      </x:c>
      <x:c r="D120" s="101" t="n">
        <x:f>C120+D118</x:f>
        <x:v>-84201906.552</x:v>
      </x:c>
      <x:c r="E120" s="101" t="n">
        <x:f>D120+E118</x:f>
        <x:v>-97702127.33946</x:v>
      </x:c>
      <x:c r="F120" s="101" t="n">
        <x:f>E120+F118</x:f>
        <x:v>-109517221.0773</x:v>
      </x:c>
      <x:c r="G120" s="101" t="n">
        <x:f>F120+G118</x:f>
        <x:v>-119643438.31748864</x:v>
      </x:c>
      <x:c r="H120" s="101" t="n">
        <x:f>G120+H118</x:f>
        <x:v>-128072816.79437055</x:v>
      </x:c>
      <x:c r="I120" s="101" t="n">
        <x:f>H120+I118</x:f>
        <x:v>-134793172.05104616</x:v>
      </x:c>
      <x:c r="J120" s="101" t="n">
        <x:f>I120+J118</x:f>
        <x:v>-139788077.5337077</x:v>
      </x:c>
      <x:c r="K120" s="101" t="n">
        <x:f>J120+K118</x:f>
        <x:v>-143036834.13049686</x:v>
      </x:c>
      <x:c r="L120" s="101" t="n">
        <x:f>K120+L118</x:f>
        <x:v>-144514429.1051203</x:v>
      </x:c>
      <x:c r="M120" s="101" t="n">
        <x:f>L120+M118</x:f>
        <x:v>-144191484.34906998</x:v>
      </x:c>
      <x:c r="N120" s="101" t="n">
        <x:f>M120+N118</x:f>
        <x:v>-142034193.84978247</x:v>
      </x:c>
      <x:c r="O120" s="101" t="n">
        <x:f>N120+O118</x:f>
        <x:v>-138004250.24536762</x:v>
      </x:c>
      <x:c r="P120" s="101" t="n">
        <x:f>O120+P118</x:f>
        <x:v>-132058760.30957723</x:v>
      </x:c>
      <x:c r="Q120" s="101" t="n">
        <x:f>P120+Q118</x:f>
        <x:v>-124150149.18340024</x:v>
      </x:c>
      <x:c r="R120" s="101" t="n">
        <x:f>Q120+R118</x:f>
        <x:v>-114226053.1419972</x:v>
      </x:c>
      <x:c r="S120" s="101" t="n">
        <x:f>R120+S118</x:f>
        <x:v>-102229200.65755266</x:v>
      </x:c>
      <x:c r="T120" s="101" t="n">
        <x:f>S120+T118</x:f>
        <x:v>-88097281.48996311</x:v>
      </x:c>
      <x:c r="U120" s="101" t="n">
        <x:f>T120+U118</x:f>
        <x:v>-71762803.50801745</x:v>
      </x:c>
      <x:c r="V120" s="101" t="n">
        <x:f>U120+V118</x:f>
        <x:v>-53152936.91379669</x:v>
      </x:c>
      <x:c r="W120" s="101" t="n">
        <x:f>V120+W118</x:f>
        <x:v>-32189345.512345977</x:v>
      </x:c>
      <x:c r="X120" s="101" t="n">
        <x:f>W120+X118</x:f>
        <x:v>-8788004.637179755</x:v>
      </x:c>
      <x:c r="Y120" s="101" t="n">
        <x:f>X120+Y118</x:f>
        <x:v>17140994.690205604</x:v>
      </x:c>
      <x:c r="Z120" s="101" t="n">
        <x:f>Y120+Z118</x:f>
        <x:v>45693655.821998015</x:v>
      </x:c>
    </x:row>
    <x:row r="121" ht="15" hidden="1" customHeight="1"/>
    <x:row r="122" ht="15" hidden="1" customHeight="1">
      <x:c r="A122" s="100" t="s">
        <x:v>441</x:v>
      </x:c>
      <x:c r="C122" s="102" t="n">
        <x:f>$D$85*(1+$E$85)^0</x:f>
        <x:v>8</x:v>
      </x:c>
      <x:c r="D122" s="102" t="n">
        <x:f>$D$85*(1+$E$85)^1</x:f>
        <x:v>8.4</x:v>
      </x:c>
      <x:c r="E122" s="102" t="n">
        <x:f>$D$85*(1+$E$85)^2</x:f>
        <x:v>8.82</x:v>
      </x:c>
      <x:c r="F122" s="102" t="n">
        <x:f>$D$85*(1+$E$85)^3</x:f>
        <x:v>9.261000000000001</x:v>
      </x:c>
      <x:c r="G122" s="102" t="n">
        <x:f>$D$85*(1+$E$85)^4</x:f>
        <x:v>9.724050000000002</x:v>
      </x:c>
      <x:c r="H122" s="102" t="n">
        <x:f>$D$85*(1+$E$85)^5</x:f>
        <x:v>10.210252500000003</x:v>
      </x:c>
      <x:c r="I122" s="102" t="n">
        <x:f>$D$85*(1+$E$85)^6</x:f>
        <x:v>10.720765125000003</x:v>
      </x:c>
      <x:c r="J122" s="102" t="n">
        <x:f>$D$85*(1+$E$85)^7</x:f>
        <x:v>11.256803381250004</x:v>
      </x:c>
      <x:c r="K122" s="102" t="n">
        <x:f>$D$85*(1+$E$85)^8</x:f>
        <x:v>11.819643550312504</x:v>
      </x:c>
      <x:c r="L122" s="102" t="n">
        <x:f>$D$85*(1+$E$85)^9</x:f>
        <x:v>12.41062572782813</x:v>
      </x:c>
      <x:c r="M122" s="102" t="n">
        <x:f>$D$85*(1+$E$85)^10</x:f>
        <x:v>13.031157014219536</x:v>
      </x:c>
      <x:c r="N122" s="102" t="n">
        <x:f>$D$85*(1+$E$85)^11</x:f>
        <x:v>13.682714864930514</x:v>
      </x:c>
      <x:c r="O122" s="102" t="n">
        <x:f>$D$85*(1+$E$85)^12</x:f>
        <x:v>14.36685060817704</x:v>
      </x:c>
      <x:c r="P122" s="102" t="n">
        <x:f>$D$85*(1+$E$85)^13</x:f>
        <x:v>15.085193138585893</x:v>
      </x:c>
      <x:c r="Q122" s="102" t="n">
        <x:f>$D$85*(1+$E$85)^14</x:f>
        <x:v>15.83945279551519</x:v>
      </x:c>
      <x:c r="R122" s="102" t="n">
        <x:f>$D$85*(1+$E$85)^15</x:f>
        <x:v>16.63142543529095</x:v>
      </x:c>
      <x:c r="S122" s="102" t="n">
        <x:f>$D$85*(1+$E$85)^16</x:f>
        <x:v>17.462996707055495</x:v>
      </x:c>
      <x:c r="T122" s="102" t="n">
        <x:f>$D$85*(1+$E$85)^17</x:f>
        <x:v>18.336146542408272</x:v>
      </x:c>
      <x:c r="U122" s="102" t="n">
        <x:f>$D$85*(1+$E$85)^18</x:f>
        <x:v>19.252953869528685</x:v>
      </x:c>
      <x:c r="V122" s="102" t="n">
        <x:f>$D$85*(1+$E$85)^19</x:f>
        <x:v>20.215601563005123</x:v>
      </x:c>
      <x:c r="W122" s="102" t="n">
        <x:f>$D$85*(1+$E$85)^20</x:f>
        <x:v>21.226381641155378</x:v>
      </x:c>
      <x:c r="X122" s="102" t="n">
        <x:f>$D$85*(1+$E$85)^21</x:f>
        <x:v>22.28770072321315</x:v>
      </x:c>
      <x:c r="Y122" s="102" t="n">
        <x:f>$D$85*(1+$E$85)^22</x:f>
        <x:v>23.402085759373808</x:v>
      </x:c>
      <x:c r="Z122" s="102" t="n">
        <x:f>$D$85*(1+$E$85)^23</x:f>
        <x:v>24.5721900473425</x:v>
      </x:c>
    </x:row>
    <x:row r="123" ht="15" hidden="1" customHeight="1">
      <x:c r="A123" s="100" t="s">
        <x:v>442</x:v>
      </x:c>
      <x:c r="B123" s="100">
        <x:v>0</x:v>
      </x:c>
      <x:c r="C123" s="102" t="n">
        <x:f t="shared" ref="C123" si="34">B123*(1-$F$85)+C122</x:f>
        <x:v>8</x:v>
      </x:c>
      <x:c r="D123" s="102" t="n">
        <x:f>C123*(1-$F$85)+D122</x:f>
        <x:v>16</x:v>
      </x:c>
      <x:c r="E123" s="102" t="n">
        <x:f>D123*(1-$F$85)+E122</x:f>
        <x:v>24.02</x:v>
      </x:c>
      <x:c r="F123" s="102" t="n">
        <x:f>E123*(1-$F$85)+F122</x:f>
        <x:v>32.08</x:v>
      </x:c>
      <x:c r="G123" s="102" t="n">
        <x:f>F123*(1-$F$85)+G122</x:f>
        <x:v>40.20005</x:v>
      </x:c>
      <x:c r="H123" s="102" t="n">
        <x:f>G123*(1-$F$85)+H122</x:f>
        <x:v>48.4003</x:v>
      </x:c>
      <x:c r="I123" s="102" t="n">
        <x:f>H123*(1-$F$85)+I122</x:f>
        <x:v>56.70105012500001</x:v>
      </x:c>
      <x:c r="J123" s="102" t="n">
        <x:f>I123*(1-$F$85)+J122</x:f>
        <x:v>65.12280100000001</x:v>
      </x:c>
      <x:c r="K123" s="102" t="n">
        <x:f>J123*(1-$F$85)+K122</x:f>
        <x:v>73.6863045003125</x:v>
      </x:c>
      <x:c r="L123" s="102" t="n">
        <x:f>K123*(1-$F$85)+L122</x:f>
        <x:v>82.41261500312501</x:v>
      </x:c>
      <x:c r="M123" s="102" t="n">
        <x:f>L123*(1-$F$85)+M122</x:f>
        <x:v>91.32314126718829</x:v>
      </x:c>
      <x:c r="N123" s="102" t="n">
        <x:f>M123*(1-$F$85)+N122</x:f>
        <x:v>100.4396990687594</x:v>
      </x:c>
      <x:c r="O123" s="102" t="n">
        <x:f>N123*(1-$F$85)+O122</x:f>
        <x:v>109.78456472349846</x:v>
      </x:c>
      <x:c r="P123" s="102" t="n">
        <x:f>O123*(1-$F$85)+P122</x:f>
        <x:v>119.38052962590943</x:v>
      </x:c>
      <x:c r="Q123" s="102" t="n">
        <x:f>P123*(1-$F$85)+Q122</x:f>
        <x:v>129.25095594012916</x:v>
      </x:c>
      <x:c r="R123" s="102" t="n">
        <x:f>Q123*(1-$F$85)+R122</x:f>
        <x:v>139.41983357841366</x:v>
      </x:c>
      <x:c r="S123" s="102" t="n">
        <x:f>R123*(1-$F$85)+S122</x:f>
        <x:v>149.91183860654849</x:v>
      </x:c>
      <x:c r="T123" s="102" t="n">
        <x:f>S123*(1-$F$85)+T122</x:f>
        <x:v>160.75239321862932</x:v>
      </x:c>
      <x:c r="U123" s="102" t="n">
        <x:f>T123*(1-$F$85)+U122</x:f>
        <x:v>171.96772742722652</x:v>
      </x:c>
      <x:c r="V123" s="102" t="n">
        <x:f>U123*(1-$F$85)+V122</x:f>
        <x:v>183.58494261887031</x:v>
      </x:c>
      <x:c r="W123" s="102" t="n">
        <x:f>V123*(1-$F$85)+W122</x:f>
        <x:v>195.63207712908215</x:v>
      </x:c>
      <x:c r="X123" s="102" t="n">
        <x:f>W123*(1-$F$85)+X122</x:f>
        <x:v>208.13817399584116</x:v>
      </x:c>
      <x:c r="Y123" s="102" t="n">
        <x:f>X123*(1-$F$85)+Y122</x:f>
        <x:v>221.1333510554229</x:v>
      </x:c>
      <x:c r="Z123" s="102" t="n">
        <x:f>Y123*(1-$F$85)+Z122</x:f>
        <x:v>234.64887354999425</x:v>
      </x:c>
    </x:row>
    <x:row r="124" ht="15" hidden="1" customHeight="1">
      <x:c r="A124" s="100" t="s">
        <x:v>443</x:v>
      </x:c>
      <x:c r="B124" s="101" t="n">
        <x:f>-$I$85</x:f>
        <x:v>-52140000</x:v>
      </x:c>
      <x:c r="C124" s="101" t="n">
        <x:f t="shared" ref="C124" si="35">C123*($B$85-$C$85)-C122*$G$85-$H$85</x:f>
        <x:v>-16000331.3472</x:v>
      </x:c>
      <x:c r="D124" s="101" t="n">
        <x:f>D123*($B$85-$C$85)-D122*$G$85-$H$85</x:f>
        <x:v>-14623078.6944</x:v>
      </x:c>
      <x:c r="E124" s="101" t="n">
        <x:f>E123*($B$85-$C$85)-E122*$G$85-$H$85</x:f>
        <x:v>-13248326.869968</x:v>
      </x:c>
      <x:c r="F124" s="101" t="n">
        <x:f>F123*($B$85-$C$85)-F122*$G$85-$H$85</x:f>
        <x:v>-11872632.742272</x:v>
      </x:c>
      <x:c r="G124" s="101" t="n">
        <x:f>G123*($B$85-$C$85)-G122*$G$85-$H$85</x:f>
        <x:v>-10492559.431750922</x:v>
      </x:c>
      <x:c r="H124" s="101" t="n">
        <x:f>H123*($B$85-$C$85)-H122*$G$85-$H$85</x:f>
        <x:v>-9104667.70308552</x:v>
      </x:c>
      <x:c r="I124" s="101" t="n">
        <x:f>I123*($B$85-$C$85)-I122*$G$85-$H$85</x:f>
        <x:v>-7705507.372999496</x:v>
      </x:c>
      <x:c r="J124" s="101" t="n">
        <x:f>J123*($B$85-$C$85)-J122*$G$85-$H$85</x:f>
        <x:v>-6291608.712171186</x:v>
      </x:c>
      <x:c r="K124" s="101" t="n">
        <x:f>K123*($B$85-$C$85)-K122*$G$85-$H$85</x:f>
        <x:v>-4859473.81977538</x:v>
      </x:c>
      <x:c r="L124" s="101" t="n">
        <x:f>L123*($B$85-$C$85)-L122*$G$85-$H$85</x:f>
        <x:v>-3405567.9491599947</x:v>
      </x:c>
      <x:c r="M124" s="101" t="n">
        <x:f>M123*($B$85-$C$85)-M122*$G$85-$H$85</x:f>
        <x:v>-1926310.7630940527</x:v>
      </x:c>
      <x:c r="N124" s="101" t="n">
        <x:f>N123*($B$85-$C$85)-N122*$G$85-$H$85</x:f>
        <x:v>-418067.4969010055</x:v>
      </x:c>
      <x:c r="O124" s="101" t="n">
        <x:f>O123*($B$85-$C$85)-O122*$G$85-$H$85</x:f>
        <x:v>1122859.9923843015</x:v>
      </x:c>
      <x:c r="P124" s="101" t="n">
        <x:f>P123*($B$85-$C$85)-P122*$G$85-$H$85</x:f>
        <x:v>2700242.312927358</x:v>
      </x:c>
      <x:c r="Q124" s="101" t="n">
        <x:f>Q123*($B$85-$C$85)-Q122*$G$85-$H$85</x:f>
        <x:v>4317931.783451378</x:v>
      </x:c>
      <x:c r="R124" s="101" t="n">
        <x:f>R123*($B$85-$C$85)-R122*$G$85-$H$85</x:f>
        <x:v>5979871.859757718</x:v>
      </x:c>
      <x:c r="S124" s="101" t="n">
        <x:f>S123*($B$85-$C$85)-S122*$G$85-$H$85</x:f>
        <x:v>7690106.765522685</x:v>
      </x:c>
      <x:c r="T124" s="101" t="n">
        <x:f>T123*($B$85-$C$85)-T122*$G$85-$H$85</x:f>
        <x:v>9452791.350937042</x:v>
      </x:c>
      <x:c r="U124" s="101" t="n">
        <x:f>U123*($B$85-$C$85)-U122*$G$85-$H$85</x:f>
        <x:v>11272201.203265205</x:v>
      </x:c>
      <x:c r="V124" s="101" t="n">
        <x:f>V123*($B$85-$C$85)-V122*$G$85-$H$85</x:f>
        <x:v>13152743.033970714</x:v>
      </x:c>
      <x:c r="W124" s="101" t="n">
        <x:f>W123*($B$85-$C$85)-W122*$G$85-$H$85</x:f>
        <x:v>15098965.36768438</x:v>
      </x:c>
      <x:c r="X124" s="101" t="n">
        <x:f>X123*($B$85-$C$85)-X122*$G$85-$H$85</x:f>
        <x:v>17115569.558982972</x:v>
      </x:c>
      <x:c r="Y124" s="101" t="n">
        <x:f>Y123*($B$85-$C$85)-Y122*$G$85-$H$85</x:f>
        <x:v>19207421.16370078</x:v>
      </x:c>
      <x:c r="Z124" s="101" t="n">
        <x:f>Z123*($B$85-$C$85)-Z122*$G$85-$H$85</x:f>
        <x:v>21379561.692316055</x:v>
      </x:c>
    </x:row>
    <x:row r="125" ht="15" hidden="1" customHeight="1">
      <x:c r="A125" s="100" t="s">
        <x:v>444</x:v>
      </x:c>
      <x:c r="B125" s="101" t="n">
        <x:f>$J$85+B124</x:f>
        <x:v>47860000</x:v>
      </x:c>
      <x:c r="C125" s="101" t="n">
        <x:f t="shared" ref="C125" si="36">B125+C124</x:f>
        <x:v>31859668.6528</x:v>
      </x:c>
      <x:c r="D125" s="101" t="n">
        <x:f>C125+D124</x:f>
        <x:v>17236589.958400004</x:v>
      </x:c>
      <x:c r="E125" s="101" t="n">
        <x:f>D125+E124</x:f>
        <x:v>3988263.088432003</x:v>
      </x:c>
      <x:c r="F125" s="101" t="n">
        <x:f>E125+F124</x:f>
        <x:v>-7884369.653839998</x:v>
      </x:c>
      <x:c r="G125" s="101" t="n">
        <x:f>F125+G124</x:f>
        <x:v>-18376929.08559092</x:v>
      </x:c>
      <x:c r="H125" s="101" t="n">
        <x:f>G125+H124</x:f>
        <x:v>-27481596.78867644</x:v>
      </x:c>
      <x:c r="I125" s="101" t="n">
        <x:f>H125+I124</x:f>
        <x:v>-35187104.16167594</x:v>
      </x:c>
      <x:c r="J125" s="101" t="n">
        <x:f>I125+J124</x:f>
        <x:v>-41478712.87384713</x:v>
      </x:c>
      <x:c r="K125" s="101" t="n">
        <x:f>J125+K124</x:f>
        <x:v>-46338186.69362251</x:v>
      </x:c>
      <x:c r="L125" s="101" t="n">
        <x:f>K125+L124</x:f>
        <x:v>-49743754.6427825</x:v>
      </x:c>
      <x:c r="M125" s="101" t="n">
        <x:f>L125+M124</x:f>
        <x:v>-51670065.405876555</x:v>
      </x:c>
      <x:c r="N125" s="101" t="n">
        <x:f>M125+N124</x:f>
        <x:v>-52088132.90277756</x:v>
      </x:c>
      <x:c r="O125" s="101" t="n">
        <x:f>N125+O124</x:f>
        <x:v>-50965272.91039326</x:v>
      </x:c>
      <x:c r="P125" s="101" t="n">
        <x:f>O125+P124</x:f>
        <x:v>-48265030.5974659</x:v>
      </x:c>
      <x:c r="Q125" s="101" t="n">
        <x:f>P125+Q124</x:f>
        <x:v>-43947098.814014524</x:v>
      </x:c>
      <x:c r="R125" s="101" t="n">
        <x:f>Q125+R124</x:f>
        <x:v>-37967226.9542568</x:v>
      </x:c>
      <x:c r="S125" s="101" t="n">
        <x:f>R125+S124</x:f>
        <x:v>-30277120.188734118</x:v>
      </x:c>
      <x:c r="T125" s="101" t="n">
        <x:f>S125+T124</x:f>
        <x:v>-20824328.837797076</x:v>
      </x:c>
      <x:c r="U125" s="101" t="n">
        <x:f>T125+U124</x:f>
        <x:v>-9552127.63453187</x:v>
      </x:c>
      <x:c r="V125" s="101" t="n">
        <x:f>U125+V124</x:f>
        <x:v>3600615.399438843</x:v>
      </x:c>
      <x:c r="W125" s="101" t="n">
        <x:f>V125+W124</x:f>
        <x:v>18699580.767123222</x:v>
      </x:c>
      <x:c r="X125" s="101" t="n">
        <x:f>W125+X124</x:f>
        <x:v>35815150.32610619</x:v>
      </x:c>
      <x:c r="Y125" s="101" t="n">
        <x:f>X125+Y124</x:f>
        <x:v>55022571.48980697</x:v>
      </x:c>
      <x:c r="Z125" s="101" t="n">
        <x:f>Y125+Z124</x:f>
        <x:v>76402133.18212304</x:v>
      </x:c>
    </x:row>
    <x:row r="126" ht="15" hidden="1" customHeight="1">
      <x:c r="A126" s="100" t="s">
        <x:v>445</x:v>
      </x:c>
      <x:c r="B126" s="101" t="n">
        <x:f>B124</x:f>
        <x:v>-52140000</x:v>
      </x:c>
      <x:c r="C126" s="101" t="n">
        <x:f t="shared" ref="C126" si="37">B126+C124</x:f>
        <x:v>-68140331.3472</x:v>
      </x:c>
      <x:c r="D126" s="101" t="n">
        <x:f>C126+D124</x:f>
        <x:v>-82763410.0416</x:v>
      </x:c>
      <x:c r="E126" s="101" t="n">
        <x:f>D126+E124</x:f>
        <x:v>-96011736.911568</x:v>
      </x:c>
      <x:c r="F126" s="101" t="n">
        <x:f>E126+F124</x:f>
        <x:v>-107884369.65384</x:v>
      </x:c>
      <x:c r="G126" s="101" t="n">
        <x:f>F126+G124</x:f>
        <x:v>-118376929.08559093</x:v>
      </x:c>
      <x:c r="H126" s="101" t="n">
        <x:f>G126+H124</x:f>
        <x:v>-127481596.78867644</x:v>
      </x:c>
      <x:c r="I126" s="101" t="n">
        <x:f>H126+I124</x:f>
        <x:v>-135187104.16167593</x:v>
      </x:c>
      <x:c r="J126" s="101" t="n">
        <x:f>I126+J124</x:f>
        <x:v>-141478712.87384713</x:v>
      </x:c>
      <x:c r="K126" s="101" t="n">
        <x:f>J126+K124</x:f>
        <x:v>-146338186.6936225</x:v>
      </x:c>
      <x:c r="L126" s="101" t="n">
        <x:f>K126+L124</x:f>
        <x:v>-149743754.6427825</x:v>
      </x:c>
      <x:c r="M126" s="101" t="n">
        <x:f>L126+M124</x:f>
        <x:v>-151670065.40587658</x:v>
      </x:c>
      <x:c r="N126" s="101" t="n">
        <x:f>M126+N124</x:f>
        <x:v>-152088132.90277758</x:v>
      </x:c>
      <x:c r="O126" s="101" t="n">
        <x:f>N126+O124</x:f>
        <x:v>-150965272.91039327</x:v>
      </x:c>
      <x:c r="P126" s="101" t="n">
        <x:f>O126+P124</x:f>
        <x:v>-148265030.5974659</x:v>
      </x:c>
      <x:c r="Q126" s="101" t="n">
        <x:f>P126+Q124</x:f>
        <x:v>-143947098.81401452</x:v>
      </x:c>
      <x:c r="R126" s="101" t="n">
        <x:f>Q126+R124</x:f>
        <x:v>-137967226.9542568</x:v>
      </x:c>
      <x:c r="S126" s="101" t="n">
        <x:f>R126+S124</x:f>
        <x:v>-130277120.18873411</x:v>
      </x:c>
      <x:c r="T126" s="101" t="n">
        <x:f>S126+T124</x:f>
        <x:v>-120824328.83779708</x:v>
      </x:c>
      <x:c r="U126" s="101" t="n">
        <x:f>T126+U124</x:f>
        <x:v>-109552127.63453187</x:v>
      </x:c>
      <x:c r="V126" s="101" t="n">
        <x:f>U126+V124</x:f>
        <x:v>-96399384.60056116</x:v>
      </x:c>
      <x:c r="W126" s="101" t="n">
        <x:f>V126+W124</x:f>
        <x:v>-81300419.23287678</x:v>
      </x:c>
      <x:c r="X126" s="101" t="n">
        <x:f>W126+X124</x:f>
        <x:v>-64184849.67389381</x:v>
      </x:c>
      <x:c r="Y126" s="101" t="n">
        <x:f>X126+Y124</x:f>
        <x:v>-44977428.51019303</x:v>
      </x:c>
      <x:c r="Z126" s="101" t="n">
        <x:f>Y126+Z124</x:f>
        <x:v>-23597866.817876972</x:v>
      </x:c>
    </x:row>
    <x:row r="127" ht="15" hidden="1" customHeight="1"/>
    <x:row r="128" ht="15" hidden="1" customHeight="1">
      <x:c r="A128" s="100" t="s">
        <x:v>446</x:v>
      </x:c>
      <x:c r="C128" s="102" t="n">
        <x:f>$D$86*(1+$E$86)^0</x:f>
        <x:v>10</x:v>
      </x:c>
      <x:c r="D128" s="102" t="n">
        <x:f>$D$86*(1+$E$86)^1</x:f>
        <x:v>10.4</x:v>
      </x:c>
      <x:c r="E128" s="102" t="n">
        <x:f>$D$86*(1+$E$86)^2</x:f>
        <x:v>10.816</x:v>
      </x:c>
      <x:c r="F128" s="102" t="n">
        <x:f>$D$86*(1+$E$86)^3</x:f>
        <x:v>11.248640000000002</x:v>
      </x:c>
      <x:c r="G128" s="102" t="n">
        <x:f>$D$86*(1+$E$86)^4</x:f>
        <x:v>11.698585600000001</x:v>
      </x:c>
      <x:c r="H128" s="102" t="n">
        <x:f>$D$86*(1+$E$86)^5</x:f>
        <x:v>12.166529024</x:v>
      </x:c>
      <x:c r="I128" s="102" t="n">
        <x:f>$D$86*(1+$E$86)^6</x:f>
        <x:v>12.653190184960003</x:v>
      </x:c>
      <x:c r="J128" s="102" t="n">
        <x:f>$D$86*(1+$E$86)^7</x:f>
        <x:v>13.159317792358403</x:v>
      </x:c>
      <x:c r="K128" s="102" t="n">
        <x:f>$D$86*(1+$E$86)^8</x:f>
        <x:v>13.685690504052738</x:v>
      </x:c>
      <x:c r="L128" s="102" t="n">
        <x:f>$D$86*(1+$E$86)^9</x:f>
        <x:v>14.23311812421485</x:v>
      </x:c>
      <x:c r="M128" s="102" t="n">
        <x:f>$D$86*(1+$E$86)^10</x:f>
        <x:v>14.802442849183443</x:v>
      </x:c>
      <x:c r="N128" s="102" t="n">
        <x:f>$D$86*(1+$E$86)^11</x:f>
        <x:v>15.394540563150782</x:v>
      </x:c>
      <x:c r="O128" s="102" t="n">
        <x:f>$D$86*(1+$E$86)^12</x:f>
        <x:v>16.010322185676817</x:v>
      </x:c>
      <x:c r="P128" s="102" t="n">
        <x:f>$D$86*(1+$E$86)^13</x:f>
        <x:v>16.65073507310389</x:v>
      </x:c>
      <x:c r="Q128" s="102" t="n">
        <x:f>$D$86*(1+$E$86)^14</x:f>
        <x:v>17.316764476028045</x:v>
      </x:c>
      <x:c r="R128" s="102" t="n">
        <x:f>$D$86*(1+$E$86)^15</x:f>
        <x:v>18.009435055069165</x:v>
      </x:c>
      <x:c r="S128" s="102" t="n">
        <x:f>$D$86*(1+$E$86)^16</x:f>
        <x:v>18.729812457271933</x:v>
      </x:c>
      <x:c r="T128" s="102" t="n">
        <x:f>$D$86*(1+$E$86)^17</x:f>
        <x:v>19.47900495556281</x:v>
      </x:c>
      <x:c r="U128" s="102" t="n">
        <x:f>$D$86*(1+$E$86)^18</x:f>
        <x:v>20.258165153785328</x:v>
      </x:c>
      <x:c r="V128" s="102" t="n">
        <x:f>$D$86*(1+$E$86)^19</x:f>
        <x:v>21.068491759936737</x:v>
      </x:c>
      <x:c r="W128" s="102" t="n">
        <x:f>$D$86*(1+$E$86)^20</x:f>
        <x:v>21.911231430334208</x:v>
      </x:c>
      <x:c r="X128" s="102" t="n">
        <x:f>$D$86*(1+$E$86)^21</x:f>
        <x:v>22.787680687547578</x:v>
      </x:c>
      <x:c r="Y128" s="102" t="n">
        <x:f>$D$86*(1+$E$86)^22</x:f>
        <x:v>23.699187915049478</x:v>
      </x:c>
      <x:c r="Z128" s="102" t="n">
        <x:f>$D$86*(1+$E$86)^23</x:f>
        <x:v>24.647155431651463</x:v>
      </x:c>
    </x:row>
    <x:row r="129" ht="15" hidden="1" customHeight="1">
      <x:c r="A129" s="100" t="s">
        <x:v>447</x:v>
      </x:c>
      <x:c r="B129" s="100">
        <x:v>0</x:v>
      </x:c>
      <x:c r="C129" s="102" t="n">
        <x:f t="shared" ref="C129" si="38">B129*(1-$F$86)+C128</x:f>
        <x:v>10</x:v>
      </x:c>
      <x:c r="D129" s="102" t="n">
        <x:f>C129*(1-$F$86)+D128</x:f>
        <x:v>19.9</x:v>
      </x:c>
      <x:c r="E129" s="102" t="n">
        <x:f>D129*(1-$F$86)+E128</x:f>
        <x:v>29.720999999999997</x:v>
      </x:c>
      <x:c r="F129" s="102" t="n">
        <x:f>E129*(1-$F$86)+F128</x:f>
        <x:v>39.48358999999999</x:v>
      </x:c>
      <x:c r="G129" s="102" t="n">
        <x:f>F129*(1-$F$86)+G128</x:f>
        <x:v>49.207996099999995</x:v>
      </x:c>
      <x:c r="H129" s="102" t="n">
        <x:f>G129*(1-$F$86)+H128</x:f>
        <x:v>58.91412531899999</x:v>
      </x:c>
      <x:c r="I129" s="102" t="n">
        <x:f>H129*(1-$F$86)+I128</x:f>
        <x:v>68.62160923801</x:v>
      </x:c>
      <x:c r="J129" s="102" t="n">
        <x:f>I129*(1-$F$86)+J128</x:f>
        <x:v>78.3498465684679</x:v>
      </x:c>
      <x:c r="K129" s="102" t="n">
        <x:f>J129*(1-$F$86)+K128</x:f>
        <x:v>88.11804474409725</x:v>
      </x:c>
      <x:c r="L129" s="102" t="n">
        <x:f>K129*(1-$F$86)+L128</x:f>
        <x:v>97.94526063110723</x:v>
      </x:c>
      <x:c r="M129" s="102" t="n">
        <x:f>L129*(1-$F$86)+M128</x:f>
        <x:v>107.8504404487353</x:v>
      </x:c>
      <x:c r="N129" s="102" t="n">
        <x:f>M129*(1-$F$86)+N128</x:f>
        <x:v>117.85245898944932</x:v>
      </x:c>
      <x:c r="O129" s="102" t="n">
        <x:f>N129*(1-$F$86)+O128</x:f>
        <x:v>127.97015822565366</x:v>
      </x:c>
      <x:c r="P129" s="102" t="n">
        <x:f>O129*(1-$F$86)+P128</x:f>
        <x:v>138.22238538747484</x:v>
      </x:c>
      <x:c r="Q129" s="102" t="n">
        <x:f>P129*(1-$F$86)+Q128</x:f>
        <x:v>148.62803059412914</x:v>
      </x:c>
      <x:c r="R129" s="102" t="n">
        <x:f>Q129*(1-$F$86)+R128</x:f>
        <x:v>159.20606411949183</x:v>
      </x:c>
      <x:c r="S129" s="102" t="n">
        <x:f>R129*(1-$F$86)+S128</x:f>
        <x:v>169.97557337078916</x:v>
      </x:c>
      <x:c r="T129" s="102" t="n">
        <x:f>S129*(1-$F$86)+T128</x:f>
        <x:v>180.9557996578125</x:v>
      </x:c>
      <x:c r="U129" s="102" t="n">
        <x:f>T129*(1-$F$86)+U128</x:f>
        <x:v>192.1661748287072</x:v>
      </x:c>
      <x:c r="V129" s="102" t="n">
        <x:f>U129*(1-$F$86)+V128</x:f>
        <x:v>203.62635784720857</x:v>
      </x:c>
      <x:c r="W129" s="102" t="n">
        <x:f>V129*(1-$F$86)+W128</x:f>
        <x:v>215.35627138518234</x:v>
      </x:c>
      <x:c r="X129" s="102" t="n">
        <x:f>W129*(1-$F$86)+X128</x:f>
        <x:v>227.3761385034708</x:v>
      </x:c>
      <x:c r="Y129" s="102" t="n">
        <x:f>X129*(1-$F$86)+Y128</x:f>
        <x:v>239.70651949334672</x:v>
      </x:c>
      <x:c r="Z129" s="102" t="n">
        <x:f>Y129*(1-$F$86)+Z128</x:f>
        <x:v>252.36834895033084</x:v>
      </x:c>
    </x:row>
    <x:row r="130" ht="15" hidden="1" customHeight="1">
      <x:c r="A130" s="100" t="s">
        <x:v>448</x:v>
      </x:c>
      <x:c r="B130" s="101" t="n">
        <x:f>-$I$86</x:f>
        <x:v>-52140000</x:v>
      </x:c>
      <x:c r="C130" s="101" t="n">
        <x:f t="shared" ref="C130" si="39">C129*($B$86-$C$86)-C128*$G$86-$H$86</x:f>
        <x:v>-16250414.184</x:v>
      </x:c>
      <x:c r="D130" s="101" t="n">
        <x:f>D129*($B$86-$C$86)-D128*$G$86-$H$86</x:f>
        <x:v>-14516344.226160001</x:v>
      </x:c>
      <x:c r="E130" s="101" t="n">
        <x:f>E129*($B$86-$C$86)-E128*$G$86-$H$86</x:f>
        <x:v>-12802115.796266401</x:v>
      </x:c>
      <x:c r="F130" s="101" t="n">
        <x:f>F129*($B$86-$C$86)-F128*$G$86-$H$86</x:f>
        <x:v>-11104062.339124057</x:v>
      </x:c>
      <x:c r="G130" s="101" t="n">
        <x:f>G129*($B$86-$C$86)-G128*$G$86-$H$86</x:f>
        <x:v>-9418593.648145668</x:v>
      </x:c>
      <x:c r="H130" s="101" t="n">
        <x:f>H129*($B$86-$C$86)-H128*$G$86-$H$86</x:f>
        <x:v>-7742187.768755313</x:v>
      </x:c>
      <x:c r="I130" s="101" t="n">
        <x:f>I129*($B$86-$C$86)-I128*$G$86-$H$86</x:f>
        <x:v>-6071383.135455152</x:v>
      </x:c>
      <x:c r="J130" s="101" t="n">
        <x:f>J129*($B$86-$C$86)-J128*$G$86-$H$86</x:f>
        <x:v>-4402770.924025504</x:v>
      </x:c>
      <x:c r="K130" s="101" t="n">
        <x:f>K129*($B$86-$C$86)-K128*$G$86-$H$86</x:f>
        <x:v>-2732987.6009810604</x:v>
      </x:c>
      <x:c r="L130" s="101" t="n">
        <x:f>L129*($B$86-$C$86)-L128*$G$86-$H$86</x:f>
        <x:v>-1058707.6530151125</x:v>
      </x:c>
      <x:c r="M130" s="101" t="n">
        <x:f>M129*($B$86-$C$86)-M128*$G$86-$H$86</x:f>
        <x:v>623363.5202692077</x:v>
      </x:c>
      <x:c r="N130" s="101" t="n">
        <x:f>N129*($B$86-$C$86)-N128*$G$86-$H$86</x:f>
        <x:v>2316496.5665146597</x:v>
      </x:c>
      <x:c r="O130" s="101" t="n">
        <x:f>O129*($B$86-$C$86)-O128*$G$86-$H$86</x:f>
        <x:v>4023945.0093381964</x:v>
      </x:c>
      <x:c r="P130" s="101" t="n">
        <x:f>P129*($B$86-$C$86)-P128*$G$86-$H$86</x:f>
        <x:v>5748951.960866522</x:v>
      </x:c>
      <x:c r="Q130" s="101" t="n">
        <x:f>Q129*($B$86-$C$86)-Q128*$G$86-$H$86</x:f>
        <x:v>7494756.732898243</x:v>
      </x:c>
      <x:c r="R130" s="101" t="n">
        <x:f>R129*($B$86-$C$86)-R128*$G$86-$H$86</x:f>
        <x:v>9264601.361131381</x:v>
      </x:c>
      <x:c r="S130" s="101" t="n">
        <x:f>S129*($B$86-$C$86)-S128*$G$86-$H$86</x:f>
        <x:v>11061737.056547984</x:v>
      </x:c>
      <x:c r="T130" s="101" t="n">
        <x:f>T129*($B$86-$C$86)-T128*$G$86-$H$86</x:f>
        <x:v>12889430.597732682</x:v>
      </x:c>
      <x:c r="U130" s="101" t="n">
        <x:f>U129*($B$86-$C$86)-U128*$G$86-$H$86</x:f>
        <x:v>14750970.67761863</x:v>
      </x:c>
      <x:c r="V130" s="101" t="n">
        <x:f>V129*($B$86-$C$86)-V128*$G$86-$H$86</x:f>
        <x:v>16649674.217901193</x:v>
      </x:c>
      <x:c r="W130" s="101" t="n">
        <x:f>W129*($B$86-$C$86)-W128*$G$86-$H$86</x:f>
        <x:v>18588892.664136156</x:v>
      </x:c>
      <x:c r="X130" s="101" t="n">
        <x:f>X129*($B$86-$C$86)-X128*$G$86-$H$86</x:f>
        <x:v>20572018.27434458</x:v>
      </x:c>
      <x:c r="Y130" s="101" t="n">
        <x:f>Y129*($B$86-$C$86)-Y128*$G$86-$H$86</x:f>
        <x:v>22602490.413779184</x:v>
      </x:c>
      <x:c r="Z130" s="101" t="n">
        <x:f>Z129*($B$86-$C$86)-Z128*$G$86-$H$86</x:f>
        <x:v>24683801.86836814</x:v>
      </x:c>
    </x:row>
    <x:row r="131" ht="15" hidden="1" customHeight="1">
      <x:c r="A131" s="100" t="s">
        <x:v>449</x:v>
      </x:c>
      <x:c r="B131" s="101" t="n">
        <x:f>$J$86+B130</x:f>
        <x:v>47860000</x:v>
      </x:c>
      <x:c r="C131" s="101" t="n">
        <x:f t="shared" ref="C131" si="40">B131+C130</x:f>
        <x:v>31609585.816</x:v>
      </x:c>
      <x:c r="D131" s="101" t="n">
        <x:f>C131+D130</x:f>
        <x:v>17093241.58984</x:v>
      </x:c>
      <x:c r="E131" s="101" t="n">
        <x:f>D131+E130</x:f>
        <x:v>4291125.793573597</x:v>
      </x:c>
      <x:c r="F131" s="101" t="n">
        <x:f>E131+F130</x:f>
        <x:v>-6812936.54555046</x:v>
      </x:c>
      <x:c r="G131" s="101" t="n">
        <x:f>F131+G130</x:f>
        <x:v>-16231530.193696128</x:v>
      </x:c>
      <x:c r="H131" s="101" t="n">
        <x:f>G131+H130</x:f>
        <x:v>-23973717.962451443</x:v>
      </x:c>
      <x:c r="I131" s="101" t="n">
        <x:f>H131+I130</x:f>
        <x:v>-30045101.097906597</x:v>
      </x:c>
      <x:c r="J131" s="101" t="n">
        <x:f>I131+J130</x:f>
        <x:v>-34447872.0219321</x:v>
      </x:c>
      <x:c r="K131" s="101" t="n">
        <x:f>J131+K130</x:f>
        <x:v>-37180859.62291317</x:v>
      </x:c>
      <x:c r="L131" s="101" t="n">
        <x:f>K131+L130</x:f>
        <x:v>-38239567.27592828</x:v>
      </x:c>
      <x:c r="M131" s="101" t="n">
        <x:f>L131+M130</x:f>
        <x:v>-37616203.75565907</x:v>
      </x:c>
      <x:c r="N131" s="101" t="n">
        <x:f>M131+N130</x:f>
        <x:v>-35299707.18914442</x:v>
      </x:c>
      <x:c r="O131" s="101" t="n">
        <x:f>N131+O130</x:f>
        <x:v>-31275762.17980622</x:v>
      </x:c>
      <x:c r="P131" s="101" t="n">
        <x:f>O131+P130</x:f>
        <x:v>-25526810.2189397</x:v>
      </x:c>
      <x:c r="Q131" s="101" t="n">
        <x:f>P131+Q130</x:f>
        <x:v>-18032053.486041456</x:v>
      </x:c>
      <x:c r="R131" s="101" t="n">
        <x:f>Q131+R130</x:f>
        <x:v>-8767452.124910075</x:v>
      </x:c>
      <x:c r="S131" s="101" t="n">
        <x:f>R131+S130</x:f>
        <x:v>2294284.9316379093</x:v>
      </x:c>
      <x:c r="T131" s="101" t="n">
        <x:f>S131+T130</x:f>
        <x:v>15183715.529370591</x:v>
      </x:c>
      <x:c r="U131" s="101" t="n">
        <x:f>T131+U130</x:f>
        <x:v>29934686.20698922</x:v>
      </x:c>
      <x:c r="V131" s="101" t="n">
        <x:f>U131+V130</x:f>
        <x:v>46584360.424890414</x:v>
      </x:c>
      <x:c r="W131" s="101" t="n">
        <x:f>V131+W130</x:f>
        <x:v>65173253.08902657</x:v>
      </x:c>
      <x:c r="X131" s="101" t="n">
        <x:f>W131+X130</x:f>
        <x:v>85745271.36337115</x:v>
      </x:c>
      <x:c r="Y131" s="101" t="n">
        <x:f>X131+Y130</x:f>
        <x:v>108347761.77715033</x:v>
      </x:c>
      <x:c r="Z131" s="101" t="n">
        <x:f>Y131+Z130</x:f>
        <x:v>133031563.64551848</x:v>
      </x:c>
    </x:row>
    <x:row r="132" ht="15" hidden="1" customHeight="1">
      <x:c r="A132" s="100" t="s">
        <x:v>450</x:v>
      </x:c>
      <x:c r="B132" s="101" t="n">
        <x:f>B130</x:f>
        <x:v>-52140000</x:v>
      </x:c>
      <x:c r="C132" s="101" t="n">
        <x:f t="shared" ref="C132" si="41">B132+C130</x:f>
        <x:v>-68390414.184</x:v>
      </x:c>
      <x:c r="D132" s="101" t="n">
        <x:f>C132+D130</x:f>
        <x:v>-82906758.41016</x:v>
      </x:c>
      <x:c r="E132" s="101" t="n">
        <x:f>D132+E130</x:f>
        <x:v>-95708874.20642641</x:v>
      </x:c>
      <x:c r="F132" s="101" t="n">
        <x:f>E132+F130</x:f>
        <x:v>-106812936.54555047</x:v>
      </x:c>
      <x:c r="G132" s="101" t="n">
        <x:f>F132+G130</x:f>
        <x:v>-116231530.19369614</x:v>
      </x:c>
      <x:c r="H132" s="101" t="n">
        <x:f>G132+H130</x:f>
        <x:v>-123973717.96245146</x:v>
      </x:c>
      <x:c r="I132" s="101" t="n">
        <x:f>H132+I130</x:f>
        <x:v>-130045101.0979066</x:v>
      </x:c>
      <x:c r="J132" s="101" t="n">
        <x:f>I132+J130</x:f>
        <x:v>-134447872.0219321</x:v>
      </x:c>
      <x:c r="K132" s="101" t="n">
        <x:f>J132+K130</x:f>
        <x:v>-137180859.62291315</x:v>
      </x:c>
      <x:c r="L132" s="101" t="n">
        <x:f>K132+L130</x:f>
        <x:v>-138239567.27592826</x:v>
      </x:c>
      <x:c r="M132" s="101" t="n">
        <x:f>L132+M130</x:f>
        <x:v>-137616203.75565904</x:v>
      </x:c>
      <x:c r="N132" s="101" t="n">
        <x:f>M132+N130</x:f>
        <x:v>-135299707.18914437</x:v>
      </x:c>
      <x:c r="O132" s="101" t="n">
        <x:f>N132+O130</x:f>
        <x:v>-131275762.17980617</x:v>
      </x:c>
      <x:c r="P132" s="101" t="n">
        <x:f>O132+P130</x:f>
        <x:v>-125526810.21893965</x:v>
      </x:c>
      <x:c r="Q132" s="101" t="n">
        <x:f>P132+Q130</x:f>
        <x:v>-118032053.4860414</x:v>
      </x:c>
      <x:c r="R132" s="101" t="n">
        <x:f>Q132+R130</x:f>
        <x:v>-108767452.12491001</x:v>
      </x:c>
      <x:c r="S132" s="101" t="n">
        <x:f>R132+S130</x:f>
        <x:v>-97705715.06836203</x:v>
      </x:c>
      <x:c r="T132" s="101" t="n">
        <x:f>S132+T130</x:f>
        <x:v>-84816284.47062935</x:v>
      </x:c>
      <x:c r="U132" s="101" t="n">
        <x:f>T132+U130</x:f>
        <x:v>-70065313.79301071</x:v>
      </x:c>
      <x:c r="V132" s="101" t="n">
        <x:f>U132+V130</x:f>
        <x:v>-53415639.57510952</x:v>
      </x:c>
      <x:c r="W132" s="101" t="n">
        <x:f>V132+W130</x:f>
        <x:v>-34826746.91097336</x:v>
      </x:c>
      <x:c r="X132" s="101" t="n">
        <x:f>W132+X130</x:f>
        <x:v>-14254728.636628784</x:v>
      </x:c>
      <x:c r="Y132" s="101" t="n">
        <x:f>X132+Y130</x:f>
        <x:v>8347761.7771504</x:v>
      </x:c>
      <x:c r="Z132" s="101" t="n">
        <x:f>Y132+Z130</x:f>
        <x:v>33031563.64551854</x:v>
      </x:c>
    </x:row>
    <x:row r="133" ht="15" hidden="1" customHeight="1"/>
    <x:row r="134" ht="15" hidden="1" customHeight="1">
      <x:c r="A134" s="100" t="s">
        <x:v>451</x:v>
      </x:c>
      <x:c r="C134" s="102" t="n">
        <x:f>$D$87*(1+$E$87)^0</x:f>
        <x:v>10</x:v>
      </x:c>
      <x:c r="D134" s="102" t="n">
        <x:f>$D$87*(1+$E$87)^1</x:f>
        <x:v>10.5</x:v>
      </x:c>
      <x:c r="E134" s="102" t="n">
        <x:f>$D$87*(1+$E$87)^2</x:f>
        <x:v>11.025</x:v>
      </x:c>
      <x:c r="F134" s="102" t="n">
        <x:f>$D$87*(1+$E$87)^3</x:f>
        <x:v>11.576250000000002</x:v>
      </x:c>
      <x:c r="G134" s="102" t="n">
        <x:f>$D$87*(1+$E$87)^4</x:f>
        <x:v>12.155062500000003</x:v>
      </x:c>
      <x:c r="H134" s="102" t="n">
        <x:f>$D$87*(1+$E$87)^5</x:f>
        <x:v>12.762815625000004</x:v>
      </x:c>
      <x:c r="I134" s="102" t="n">
        <x:f>$D$87*(1+$E$87)^6</x:f>
        <x:v>13.400956406250003</x:v>
      </x:c>
      <x:c r="J134" s="102" t="n">
        <x:f>$D$87*(1+$E$87)^7</x:f>
        <x:v>14.071004226562504</x:v>
      </x:c>
      <x:c r="K134" s="102" t="n">
        <x:f>$D$87*(1+$E$87)^8</x:f>
        <x:v>14.77455443789063</x:v>
      </x:c>
      <x:c r="L134" s="102" t="n">
        <x:f>$D$87*(1+$E$87)^9</x:f>
        <x:v>15.513282159785163</x:v>
      </x:c>
      <x:c r="M134" s="102" t="n">
        <x:f>$D$87*(1+$E$87)^10</x:f>
        <x:v>16.28894626777442</x:v>
      </x:c>
      <x:c r="N134" s="102" t="n">
        <x:f>$D$87*(1+$E$87)^11</x:f>
        <x:v>17.103393581163143</x:v>
      </x:c>
      <x:c r="O134" s="102" t="n">
        <x:f>$D$87*(1+$E$87)^12</x:f>
        <x:v>17.9585632602213</x:v>
      </x:c>
      <x:c r="P134" s="102" t="n">
        <x:f>$D$87*(1+$E$87)^13</x:f>
        <x:v>18.856491423232367</x:v>
      </x:c>
      <x:c r="Q134" s="102" t="n">
        <x:f>$D$87*(1+$E$87)^14</x:f>
        <x:v>19.799315994393986</x:v>
      </x:c>
      <x:c r="R134" s="102" t="n">
        <x:f>$D$87*(1+$E$87)^15</x:f>
        <x:v>20.789281794113688</x:v>
      </x:c>
      <x:c r="S134" s="102" t="n">
        <x:f>$D$87*(1+$E$87)^16</x:f>
        <x:v>21.82874588381937</x:v>
      </x:c>
      <x:c r="T134" s="102" t="n">
        <x:f>$D$87*(1+$E$87)^17</x:f>
        <x:v>22.92018317801034</x:v>
      </x:c>
      <x:c r="U134" s="102" t="n">
        <x:f>$D$87*(1+$E$87)^18</x:f>
        <x:v>24.066192336910856</x:v>
      </x:c>
      <x:c r="V134" s="102" t="n">
        <x:f>$D$87*(1+$E$87)^19</x:f>
        <x:v>25.269501953756404</x:v>
      </x:c>
      <x:c r="W134" s="102" t="n">
        <x:f>$D$87*(1+$E$87)^20</x:f>
        <x:v>26.53297705144422</x:v>
      </x:c>
      <x:c r="X134" s="102" t="n">
        <x:f>$D$87*(1+$E$87)^21</x:f>
        <x:v>27.859625904016436</x:v>
      </x:c>
      <x:c r="Y134" s="102" t="n">
        <x:f>$D$87*(1+$E$87)^22</x:f>
        <x:v>29.25260719921726</x:v>
      </x:c>
      <x:c r="Z134" s="102" t="n">
        <x:f>$D$87*(1+$E$87)^23</x:f>
        <x:v>30.715237559178124</x:v>
      </x:c>
    </x:row>
    <x:row r="135" ht="15" hidden="1" customHeight="1">
      <x:c r="A135" s="100" t="s">
        <x:v>452</x:v>
      </x:c>
      <x:c r="B135" s="100">
        <x:v>0</x:v>
      </x:c>
      <x:c r="C135" s="102" t="n">
        <x:f t="shared" ref="C135" si="42">B135*(1-$F$87)+C134</x:f>
        <x:v>10</x:v>
      </x:c>
      <x:c r="D135" s="102" t="n">
        <x:f>C135*(1-$F$87)+D134</x:f>
        <x:v>20</x:v>
      </x:c>
      <x:c r="E135" s="102" t="n">
        <x:f>D135*(1-$F$87)+E134</x:f>
        <x:v>30.025</x:v>
      </x:c>
      <x:c r="F135" s="102" t="n">
        <x:f>E135*(1-$F$87)+F134</x:f>
        <x:v>40.099999999999994</x:v>
      </x:c>
      <x:c r="G135" s="102" t="n">
        <x:f>F135*(1-$F$87)+G134</x:f>
        <x:v>50.2500625</x:v>
      </x:c>
      <x:c r="H135" s="102" t="n">
        <x:f>G135*(1-$F$87)+H134</x:f>
        <x:v>60.500375</x:v>
      </x:c>
      <x:c r="I135" s="102" t="n">
        <x:f>H135*(1-$F$87)+I134</x:f>
        <x:v>70.87631265625001</x:v>
      </x:c>
      <x:c r="J135" s="102" t="n">
        <x:f>I135*(1-$F$87)+J134</x:f>
        <x:v>81.40350125</x:v>
      </x:c>
      <x:c r="K135" s="102" t="n">
        <x:f>J135*(1-$F$87)+K134</x:f>
        <x:v>92.10788062539064</x:v>
      </x:c>
      <x:c r="L135" s="102" t="n">
        <x:f>K135*(1-$F$87)+L134</x:f>
        <x:v>103.01576875390626</x:v>
      </x:c>
      <x:c r="M135" s="102" t="n">
        <x:f>L135*(1-$F$87)+M134</x:f>
        <x:v>114.15392658398537</x:v>
      </x:c>
      <x:c r="N135" s="102" t="n">
        <x:f>M135*(1-$F$87)+N134</x:f>
        <x:v>125.54962383594923</x:v>
      </x:c>
      <x:c r="O135" s="102" t="n">
        <x:f>N135*(1-$F$87)+O134</x:f>
        <x:v>137.23070590437308</x:v>
      </x:c>
      <x:c r="P135" s="102" t="n">
        <x:f>O135*(1-$F$87)+P134</x:f>
        <x:v>149.2256620323868</x:v>
      </x:c>
      <x:c r="Q135" s="102" t="n">
        <x:f>P135*(1-$F$87)+Q134</x:f>
        <x:v>161.56369492516143</x:v>
      </x:c>
      <x:c r="R135" s="102" t="n">
        <x:f>Q135*(1-$F$87)+R134</x:f>
        <x:v>174.27479197301705</x:v>
      </x:c>
      <x:c r="S135" s="102" t="n">
        <x:f>R135*(1-$F$87)+S134</x:f>
        <x:v>187.38979825818558</x:v>
      </x:c>
      <x:c r="T135" s="102" t="n">
        <x:f>S135*(1-$F$87)+T134</x:f>
        <x:v>200.94049152328665</x:v>
      </x:c>
      <x:c r="U135" s="102" t="n">
        <x:f>T135*(1-$F$87)+U134</x:f>
        <x:v>214.95965928403317</x:v>
      </x:c>
      <x:c r="V135" s="102" t="n">
        <x:f>U135*(1-$F$87)+V134</x:f>
        <x:v>229.4811782735879</x:v>
      </x:c>
      <x:c r="W135" s="102" t="n">
        <x:f>V135*(1-$F$87)+W134</x:f>
        <x:v>244.5400964113527</x:v>
      </x:c>
      <x:c r="X135" s="102" t="n">
        <x:f>W135*(1-$F$87)+X134</x:f>
        <x:v>260.1727174948015</x:v>
      </x:c>
      <x:c r="Y135" s="102" t="n">
        <x:f>X135*(1-$F$87)+Y134</x:f>
        <x:v>276.41668881927865</x:v>
      </x:c>
      <x:c r="Z135" s="102" t="n">
        <x:f>Y135*(1-$F$87)+Z134</x:f>
        <x:v>293.31109193749285</x:v>
      </x:c>
    </x:row>
    <x:row r="136" ht="15" hidden="1" customHeight="1">
      <x:c r="A136" s="100" t="s">
        <x:v>453</x:v>
      </x:c>
      <x:c r="B136" s="101" t="n">
        <x:f>-$I$87</x:f>
        <x:v>-52140000</x:v>
      </x:c>
      <x:c r="C136" s="101" t="n">
        <x:f t="shared" ref="C136" si="43">C135*($B$87-$C$87)-C134*$G$87-$H$87</x:f>
        <x:v>-19250414.184</x:v>
      </x:c>
      <x:c r="D136" s="101" t="n">
        <x:f>D135*($B$87-$C$87)-D134*$G$87-$H$87</x:f>
        <x:v>-17528848.368</x:v>
      </x:c>
      <x:c r="E136" s="101" t="n">
        <x:f>E135*($B$87-$C$87)-E134*$G$87-$H$87</x:f>
        <x:v>-15810408.58746</x:v>
      </x:c>
      <x:c r="F136" s="101" t="n">
        <x:f>F135*($B$87-$C$87)-F134*$G$87-$H$87</x:f>
        <x:v>-14090790.927840002</x:v>
      </x:c>
      <x:c r="G136" s="101" t="n">
        <x:f>G135*($B$87-$C$87)-G134*$G$87-$H$87</x:f>
        <x:v>-12365699.28968865</x:v>
      </x:c>
      <x:c r="H136" s="101" t="n">
        <x:f>H135*($B$87-$C$87)-H134*$G$87-$H$87</x:f>
        <x:v>-10630834.628856901</x:v>
      </x:c>
      <x:c r="I136" s="101" t="n">
        <x:f>I135*($B$87-$C$87)-I134*$G$87-$H$87</x:f>
        <x:v>-8881884.216249371</x:v>
      </x:c>
      <x:c r="J136" s="101" t="n">
        <x:f>J135*($B$87-$C$87)-J134*$G$87-$H$87</x:f>
        <x:v>-7114510.890213985</x:v>
      </x:c>
      <x:c r="K136" s="101" t="n">
        <x:f>K135*($B$87-$C$87)-K134*$G$87-$H$87</x:f>
        <x:v>-5324342.27471922</x:v>
      </x:c>
      <x:c r="L136" s="101" t="n">
        <x:f>L135*($B$87-$C$87)-L134*$G$87-$H$87</x:f>
        <x:v>-3506959.9364499934</x:v>
      </x:c>
      <x:c r="M136" s="101" t="n">
        <x:f>M135*($B$87-$C$87)-M134*$G$87-$H$87</x:f>
        <x:v>-1657888.453867562</x:v>
      </x:c>
      <x:c r="N136" s="101" t="n">
        <x:f>N135*($B$87-$C$87)-N134*$G$87-$H$87</x:f>
        <x:v>227415.6288737394</x:v>
      </x:c>
      <x:c r="O136" s="101" t="n">
        <x:f>O135*($B$87-$C$87)-O134*$G$87-$H$87</x:f>
        <x:v>2153574.9904803783</x:v>
      </x:c>
      <x:c r="P136" s="101" t="n">
        <x:f>P135*($B$87-$C$87)-P134*$G$87-$H$87</x:f>
        <x:v>4125302.891159199</x:v>
      </x:c>
      <x:c r="Q136" s="101" t="n">
        <x:f>Q135*($B$87-$C$87)-Q134*$G$87-$H$87</x:f>
        <x:v>6147414.729314223</x:v>
      </x:c>
      <x:c r="R136" s="101" t="n">
        <x:f>R135*($B$87-$C$87)-R134*$G$87-$H$87</x:f>
        <x:v>8224839.824697144</x:v>
      </x:c>
      <x:c r="S136" s="101" t="n">
        <x:f>S135*($B$87-$C$87)-S134*$G$87-$H$87</x:f>
        <x:v>10362633.45690335</x:v>
      </x:c>
      <x:c r="T136" s="101" t="n">
        <x:f>T135*($B$87-$C$87)-T134*$G$87-$H$87</x:f>
        <x:v>12565989.188671302</x:v>
      </x:c>
      <x:c r="U136" s="101" t="n">
        <x:f>U135*($B$87-$C$87)-U134*$G$87-$H$87</x:f>
        <x:v>14840251.50408151</x:v>
      </x:c>
      <x:c r="V136" s="101" t="n">
        <x:f>V135*($B$87-$C$87)-V134*$G$87-$H$87</x:f>
        <x:v>17190928.792463392</x:v>
      </x:c>
      <x:c r="W136" s="101" t="n">
        <x:f>W135*($B$87-$C$87)-W134*$G$87-$H$87</x:f>
        <x:v>19623706.709605478</x:v>
      </x:c>
      <x:c r="X136" s="101" t="n">
        <x:f>X135*($B$87-$C$87)-X134*$G$87-$H$87</x:f>
        <x:v>22144461.948728725</x:v>
      </x:c>
      <x:c r="Y136" s="101" t="n">
        <x:f>Y135*($B$87-$C$87)-Y134*$G$87-$H$87</x:f>
        <x:v>24759276.454625987</x:v>
      </x:c>
      <x:c r="Z136" s="101" t="n">
        <x:f>Z135*($B$87-$C$87)-Z134*$G$87-$H$87</x:f>
        <x:v>27474452.11539507</x:v>
      </x:c>
    </x:row>
    <x:row r="137" ht="15" hidden="1" customHeight="1">
      <x:c r="A137" s="100" t="s">
        <x:v>454</x:v>
      </x:c>
      <x:c r="B137" s="101" t="n">
        <x:f>$J$87+B136</x:f>
        <x:v>47860000</x:v>
      </x:c>
      <x:c r="C137" s="101" t="n">
        <x:f t="shared" ref="C137" si="44">B137+C136</x:f>
        <x:v>28609585.816</x:v>
      </x:c>
      <x:c r="D137" s="101" t="n">
        <x:f>C137+D136</x:f>
        <x:v>11080737.447999999</x:v>
      </x:c>
      <x:c r="E137" s="101" t="n">
        <x:f>D137+E136</x:f>
        <x:v>-4729671.139460001</x:v>
      </x:c>
      <x:c r="F137" s="101" t="n">
        <x:f>E137+F136</x:f>
        <x:v>-18820462.067300003</x:v>
      </x:c>
      <x:c r="G137" s="101" t="n">
        <x:f>F137+G136</x:f>
        <x:v>-31186161.356988654</x:v>
      </x:c>
      <x:c r="H137" s="101" t="n">
        <x:f>G137+H136</x:f>
        <x:v>-41816995.98584555</x:v>
      </x:c>
      <x:c r="I137" s="101" t="n">
        <x:f>H137+I136</x:f>
        <x:v>-50698880.20209492</x:v>
      </x:c>
      <x:c r="J137" s="101" t="n">
        <x:f>I137+J136</x:f>
        <x:v>-57813391.09230891</x:v>
      </x:c>
      <x:c r="K137" s="101" t="n">
        <x:f>J137+K136</x:f>
        <x:v>-63137733.36702813</x:v>
      </x:c>
      <x:c r="L137" s="101" t="n">
        <x:f>K137+L136</x:f>
        <x:v>-66644693.30347812</x:v>
      </x:c>
      <x:c r="M137" s="101" t="n">
        <x:f>L137+M136</x:f>
        <x:v>-68302581.75734568</x:v>
      </x:c>
      <x:c r="N137" s="101" t="n">
        <x:f>M137+N136</x:f>
        <x:v>-68075166.12847194</x:v>
      </x:c>
      <x:c r="O137" s="101" t="n">
        <x:f>N137+O136</x:f>
        <x:v>-65921591.13799156</x:v>
      </x:c>
      <x:c r="P137" s="101" t="n">
        <x:f>O137+P136</x:f>
        <x:v>-61796288.24683236</x:v>
      </x:c>
      <x:c r="Q137" s="101" t="n">
        <x:f>P137+Q136</x:f>
        <x:v>-55648873.51751814</x:v>
      </x:c>
      <x:c r="R137" s="101" t="n">
        <x:f>Q137+R136</x:f>
        <x:v>-47424033.692820996</x:v>
      </x:c>
      <x:c r="S137" s="101" t="n">
        <x:f>R137+S136</x:f>
        <x:v>-37061400.23591764</x:v>
      </x:c>
      <x:c r="T137" s="101" t="n">
        <x:f>S137+T136</x:f>
        <x:v>-24495411.04724634</x:v>
      </x:c>
      <x:c r="U137" s="101" t="n">
        <x:f>T137+U136</x:f>
        <x:v>-9655159.54316483</x:v>
      </x:c>
      <x:c r="V137" s="101" t="n">
        <x:f>U137+V136</x:f>
        <x:v>7535769.249298561</x:v>
      </x:c>
      <x:c r="W137" s="101" t="n">
        <x:f>V137+W136</x:f>
        <x:v>27159475.95890404</x:v>
      </x:c>
      <x:c r="X137" s="101" t="n">
        <x:f>W137+X136</x:f>
        <x:v>49303937.90763277</x:v>
      </x:c>
      <x:c r="Y137" s="101" t="n">
        <x:f>X137+Y136</x:f>
        <x:v>74063214.36225876</x:v>
      </x:c>
      <x:c r="Z137" s="101" t="n">
        <x:f>Y137+Z136</x:f>
        <x:v>101537666.47765383</x:v>
      </x:c>
    </x:row>
    <x:row r="138" ht="15" hidden="1" customHeight="1">
      <x:c r="A138" s="100" t="s">
        <x:v>455</x:v>
      </x:c>
      <x:c r="B138" s="101" t="n">
        <x:f>B136</x:f>
        <x:v>-52140000</x:v>
      </x:c>
      <x:c r="C138" s="101" t="n">
        <x:f t="shared" ref="C138" si="45">B138+C136</x:f>
        <x:v>-71390414.184</x:v>
      </x:c>
      <x:c r="D138" s="101" t="n">
        <x:f>C138+D136</x:f>
        <x:v>-88919262.552</x:v>
      </x:c>
      <x:c r="E138" s="101" t="n">
        <x:f>D138+E136</x:f>
        <x:v>-104729671.13946</x:v>
      </x:c>
      <x:c r="F138" s="101" t="n">
        <x:f>E138+F136</x:f>
        <x:v>-118820462.06729999</x:v>
      </x:c>
      <x:c r="G138" s="101" t="n">
        <x:f>F138+G136</x:f>
        <x:v>-131186161.35698864</x:v>
      </x:c>
      <x:c r="H138" s="101" t="n">
        <x:f>G138+H136</x:f>
        <x:v>-141816995.98584554</x:v>
      </x:c>
      <x:c r="I138" s="101" t="n">
        <x:f>H138+I136</x:f>
        <x:v>-150698880.2020949</x:v>
      </x:c>
      <x:c r="J138" s="101" t="n">
        <x:f>I138+J136</x:f>
        <x:v>-157813391.0923089</x:v>
      </x:c>
      <x:c r="K138" s="101" t="n">
        <x:f>J138+K136</x:f>
        <x:v>-163137733.36702812</x:v>
      </x:c>
      <x:c r="L138" s="101" t="n">
        <x:f>K138+L136</x:f>
        <x:v>-166644693.30347812</x:v>
      </x:c>
      <x:c r="M138" s="101" t="n">
        <x:f>L138+M136</x:f>
        <x:v>-168302581.75734568</x:v>
      </x:c>
      <x:c r="N138" s="101" t="n">
        <x:f>M138+N136</x:f>
        <x:v>-168075166.12847194</x:v>
      </x:c>
      <x:c r="O138" s="101" t="n">
        <x:f>N138+O136</x:f>
        <x:v>-165921591.13799155</x:v>
      </x:c>
      <x:c r="P138" s="101" t="n">
        <x:f>O138+P136</x:f>
        <x:v>-161796288.24683234</x:v>
      </x:c>
      <x:c r="Q138" s="101" t="n">
        <x:f>P138+Q136</x:f>
        <x:v>-155648873.5175181</x:v>
      </x:c>
      <x:c r="R138" s="101" t="n">
        <x:f>Q138+R136</x:f>
        <x:v>-147424033.69282097</x:v>
      </x:c>
      <x:c r="S138" s="101" t="n">
        <x:f>R138+S136</x:f>
        <x:v>-137061400.23591763</x:v>
      </x:c>
      <x:c r="T138" s="101" t="n">
        <x:f>S138+T136</x:f>
        <x:v>-124495411.04724632</x:v>
      </x:c>
      <x:c r="U138" s="101" t="n">
        <x:f>T138+U136</x:f>
        <x:v>-109655159.54316482</x:v>
      </x:c>
      <x:c r="V138" s="101" t="n">
        <x:f>U138+V136</x:f>
        <x:v>-92464230.75070143</x:v>
      </x:c>
      <x:c r="W138" s="101" t="n">
        <x:f>V138+W136</x:f>
        <x:v>-72840524.04109594</x:v>
      </x:c>
      <x:c r="X138" s="101" t="n">
        <x:f>W138+X136</x:f>
        <x:v>-50696062.09236722</x:v>
      </x:c>
      <x:c r="Y138" s="101" t="n">
        <x:f>X138+Y136</x:f>
        <x:v>-25936785.63774123</x:v>
      </x:c>
      <x:c r="Z138" s="101" t="n">
        <x:f>Y138+Z136</x:f>
        <x:v>1537666.4776538387</x:v>
      </x:c>
    </x:row>
    <x:row r="139" ht="15" hidden="1" customHeight="1"/>
    <x:row r="140" ht="15" hidden="1" customHeight="1">
      <x:c r="A140" s="100" t="s">
        <x:v>456</x:v>
      </x:c>
      <x:c r="C140" s="102" t="n">
        <x:f>$D$88*(1+$E$88)^0</x:f>
        <x:v>10</x:v>
      </x:c>
      <x:c r="D140" s="102" t="n">
        <x:f>$D$88*(1+$E$88)^1</x:f>
        <x:v>10.5</x:v>
      </x:c>
      <x:c r="E140" s="102" t="n">
        <x:f>$D$88*(1+$E$88)^2</x:f>
        <x:v>11.025</x:v>
      </x:c>
      <x:c r="F140" s="102" t="n">
        <x:f>$D$88*(1+$E$88)^3</x:f>
        <x:v>11.576250000000002</x:v>
      </x:c>
      <x:c r="G140" s="102" t="n">
        <x:f>$D$88*(1+$E$88)^4</x:f>
        <x:v>12.155062500000003</x:v>
      </x:c>
      <x:c r="H140" s="102" t="n">
        <x:f>$D$88*(1+$E$88)^5</x:f>
        <x:v>12.762815625000004</x:v>
      </x:c>
      <x:c r="I140" s="102" t="n">
        <x:f>$D$88*(1+$E$88)^6</x:f>
        <x:v>13.400956406250003</x:v>
      </x:c>
      <x:c r="J140" s="102" t="n">
        <x:f>$D$88*(1+$E$88)^7</x:f>
        <x:v>14.071004226562504</x:v>
      </x:c>
      <x:c r="K140" s="102" t="n">
        <x:f>$D$88*(1+$E$88)^8</x:f>
        <x:v>14.77455443789063</x:v>
      </x:c>
      <x:c r="L140" s="102" t="n">
        <x:f>$D$88*(1+$E$88)^9</x:f>
        <x:v>15.513282159785163</x:v>
      </x:c>
      <x:c r="M140" s="102" t="n">
        <x:f>$D$88*(1+$E$88)^10</x:f>
        <x:v>16.28894626777442</x:v>
      </x:c>
      <x:c r="N140" s="102" t="n">
        <x:f>$D$88*(1+$E$88)^11</x:f>
        <x:v>17.103393581163143</x:v>
      </x:c>
      <x:c r="O140" s="102" t="n">
        <x:f>$D$88*(1+$E$88)^12</x:f>
        <x:v>17.9585632602213</x:v>
      </x:c>
      <x:c r="P140" s="102" t="n">
        <x:f>$D$88*(1+$E$88)^13</x:f>
        <x:v>18.856491423232367</x:v>
      </x:c>
      <x:c r="Q140" s="102" t="n">
        <x:f>$D$88*(1+$E$88)^14</x:f>
        <x:v>19.799315994393986</x:v>
      </x:c>
      <x:c r="R140" s="102" t="n">
        <x:f>$D$88*(1+$E$88)^15</x:f>
        <x:v>20.789281794113688</x:v>
      </x:c>
      <x:c r="S140" s="102" t="n">
        <x:f>$D$88*(1+$E$88)^16</x:f>
        <x:v>21.82874588381937</x:v>
      </x:c>
      <x:c r="T140" s="102" t="n">
        <x:f>$D$88*(1+$E$88)^17</x:f>
        <x:v>22.92018317801034</x:v>
      </x:c>
      <x:c r="U140" s="102" t="n">
        <x:f>$D$88*(1+$E$88)^18</x:f>
        <x:v>24.066192336910856</x:v>
      </x:c>
      <x:c r="V140" s="102" t="n">
        <x:f>$D$88*(1+$E$88)^19</x:f>
        <x:v>25.269501953756404</x:v>
      </x:c>
      <x:c r="W140" s="102" t="n">
        <x:f>$D$88*(1+$E$88)^20</x:f>
        <x:v>26.53297705144422</x:v>
      </x:c>
      <x:c r="X140" s="102" t="n">
        <x:f>$D$88*(1+$E$88)^21</x:f>
        <x:v>27.859625904016436</x:v>
      </x:c>
      <x:c r="Y140" s="102" t="n">
        <x:f>$D$88*(1+$E$88)^22</x:f>
        <x:v>29.25260719921726</x:v>
      </x:c>
      <x:c r="Z140" s="102" t="n">
        <x:f>$D$88*(1+$E$88)^23</x:f>
        <x:v>30.715237559178124</x:v>
      </x:c>
    </x:row>
    <x:row r="141" ht="15" hidden="1" customHeight="1">
      <x:c r="A141" s="100" t="s">
        <x:v>457</x:v>
      </x:c>
      <x:c r="B141" s="100">
        <x:v>0</x:v>
      </x:c>
      <x:c r="C141" s="102" t="n">
        <x:f t="shared" ref="C141" si="46">B141*(1-$F$88)+C140</x:f>
        <x:v>10</x:v>
      </x:c>
      <x:c r="D141" s="102" t="n">
        <x:f>C141*(1-$F$88)+D140</x:f>
        <x:v>20</x:v>
      </x:c>
      <x:c r="E141" s="102" t="n">
        <x:f>D141*(1-$F$88)+E140</x:f>
        <x:v>30.025</x:v>
      </x:c>
      <x:c r="F141" s="102" t="n">
        <x:f>E141*(1-$F$88)+F140</x:f>
        <x:v>40.099999999999994</x:v>
      </x:c>
      <x:c r="G141" s="102" t="n">
        <x:f>F141*(1-$F$88)+G140</x:f>
        <x:v>50.2500625</x:v>
      </x:c>
      <x:c r="H141" s="102" t="n">
        <x:f>G141*(1-$F$88)+H140</x:f>
        <x:v>60.500375</x:v>
      </x:c>
      <x:c r="I141" s="102" t="n">
        <x:f>H141*(1-$F$88)+I140</x:f>
        <x:v>70.87631265625001</x:v>
      </x:c>
      <x:c r="J141" s="102" t="n">
        <x:f>I141*(1-$F$88)+J140</x:f>
        <x:v>81.40350125</x:v>
      </x:c>
      <x:c r="K141" s="102" t="n">
        <x:f>J141*(1-$F$88)+K140</x:f>
        <x:v>92.10788062539064</x:v>
      </x:c>
      <x:c r="L141" s="102" t="n">
        <x:f>K141*(1-$F$88)+L140</x:f>
        <x:v>103.01576875390626</x:v>
      </x:c>
      <x:c r="M141" s="102" t="n">
        <x:f>L141*(1-$F$88)+M140</x:f>
        <x:v>114.15392658398537</x:v>
      </x:c>
      <x:c r="N141" s="102" t="n">
        <x:f>M141*(1-$F$88)+N140</x:f>
        <x:v>125.54962383594923</x:v>
      </x:c>
      <x:c r="O141" s="102" t="n">
        <x:f>N141*(1-$F$88)+O140</x:f>
        <x:v>137.23070590437308</x:v>
      </x:c>
      <x:c r="P141" s="102" t="n">
        <x:f>O141*(1-$F$88)+P140</x:f>
        <x:v>149.2256620323868</x:v>
      </x:c>
      <x:c r="Q141" s="102" t="n">
        <x:f>P141*(1-$F$88)+Q140</x:f>
        <x:v>161.56369492516143</x:v>
      </x:c>
      <x:c r="R141" s="102" t="n">
        <x:f>Q141*(1-$F$88)+R140</x:f>
        <x:v>174.27479197301705</x:v>
      </x:c>
      <x:c r="S141" s="102" t="n">
        <x:f>R141*(1-$F$88)+S140</x:f>
        <x:v>187.38979825818558</x:v>
      </x:c>
      <x:c r="T141" s="102" t="n">
        <x:f>S141*(1-$F$88)+T140</x:f>
        <x:v>200.94049152328665</x:v>
      </x:c>
      <x:c r="U141" s="102" t="n">
        <x:f>T141*(1-$F$88)+U140</x:f>
        <x:v>214.95965928403317</x:v>
      </x:c>
      <x:c r="V141" s="102" t="n">
        <x:f>U141*(1-$F$88)+V140</x:f>
        <x:v>229.4811782735879</x:v>
      </x:c>
      <x:c r="W141" s="102" t="n">
        <x:f>V141*(1-$F$88)+W140</x:f>
        <x:v>244.5400964113527</x:v>
      </x:c>
      <x:c r="X141" s="102" t="n">
        <x:f>W141*(1-$F$88)+X140</x:f>
        <x:v>260.1727174948015</x:v>
      </x:c>
      <x:c r="Y141" s="102" t="n">
        <x:f>X141*(1-$F$88)+Y140</x:f>
        <x:v>276.41668881927865</x:v>
      </x:c>
      <x:c r="Z141" s="102" t="n">
        <x:f>Y141*(1-$F$88)+Z140</x:f>
        <x:v>293.31109193749285</x:v>
      </x:c>
    </x:row>
    <x:row r="142" ht="15" hidden="1" customHeight="1">
      <x:c r="A142" s="100" t="s">
        <x:v>458</x:v>
      </x:c>
      <x:c r="B142" s="101" t="n">
        <x:f>-$I$88</x:f>
        <x:v>-52140000</x:v>
      </x:c>
      <x:c r="C142" s="101" t="n">
        <x:f t="shared" ref="C142" si="47">C141*($B$88-$C$88)-C140*$G$88-$H$88</x:f>
        <x:v>-16477897.872</x:v>
      </x:c>
      <x:c r="D142" s="101" t="n">
        <x:f>D141*($B$88-$C$88)-D140*$G$88-$H$88</x:f>
        <x:v>-14983815.743999999</x:v>
      </x:c>
      <x:c r="E142" s="101" t="n">
        <x:f>E141*($B$88-$C$88)-E140*$G$88-$H$88</x:f>
        <x:v>-13493428.360679999</x:v>
      </x:c>
      <x:c r="F142" s="101" t="n">
        <x:f>F141*($B$88-$C$88)-F140*$G$88-$H$88</x:f>
        <x:v>-12003000.51672</x:v>
      </x:c>
      <x:c r="G142" s="101" t="n">
        <x:f>G141*($B$88-$C$88)-G140*$G$88-$H$88</x:f>
        <x:v>-10508806.2436617</x:v>
      </x:c>
      <x:c r="H142" s="101" t="n">
        <x:f>H141*($B$88-$C$88)-H140*$G$88-$H$88</x:f>
        <x:v>-9007119.471895201</x:v>
      </x:c>
      <x:c r="I142" s="101" t="n">
        <x:f>I141*($B$88-$C$88)-I140*$G$88-$H$88</x:f>
        <x:v>-7494204.715737853</x:v>
      </x:c>
      <x:c r="J142" s="101" t="n">
        <x:f>J141*($B$88-$C$88)-J140*$G$88-$H$88</x:f>
        <x:v>-5966307.758260246</x:v>
      </x:c>
      <x:c r="K142" s="101" t="n">
        <x:f>K141*($B$88-$C$88)-K140*$G$88-$H$88</x:f>
        <x:v>-4419646.312571984</x:v>
      </x:c>
      <x:c r="L142" s="101" t="n">
        <x:f>L141*($B$88-$C$88)-L140*$G$88-$H$88</x:f>
        <x:v>-2850400.6362793706</x:v>
      </x:c>
      <x:c r="M142" s="101" t="n">
        <x:f>M141*($B$88-$C$88)-M140*$G$88-$H$88</x:f>
        <x:v>-1254704.075768184</x:v>
      </x:c>
      <x:c r="N142" s="101" t="n">
        <x:f>N141*($B$88-$C$88)-N140*$G$88-$H$88</x:f>
        <x:v>371366.4831522964</x:v>
      </x:c>
      <x:c r="O142" s="101" t="n">
        <x:f>O141*($B$88-$C$88)-O140*$G$88-$H$88</x:f>
        <x:v>2031800.2818833627</x:v>
      </x:c>
      <x:c r="P142" s="101" t="n">
        <x:f>P141*($B$88-$C$88)-P140*$G$88-$H$88</x:f>
        <x:v>3730662.4968223087</x:v>
      </x:c>
      <x:c r="Q142" s="101" t="n">
        <x:f>Q141*($B$88-$C$88)-Q140*$G$88-$H$88</x:f>
        <x:v>5472104.2124659605</x:v>
      </x:c>
      <x:c r="R142" s="101" t="n">
        <x:f>R141*($B$88-$C$88)-R140*$G$88-$H$88</x:f>
        <x:v>7260372.584351674</x:v>
      </x:c>
      <x:c r="S142" s="101" t="n">
        <x:f>S141*($B$88-$C$88)-S140*$G$88-$H$88</x:f>
        <x:v>9099821.216768548</x:v>
      </x:c>
      <x:c r="T142" s="101" t="n">
        <x:f>T141*($B$88-$C$88)-T140*$G$88-$H$88</x:f>
        <x:v>10994920.780646306</x:v>
      </x:c>
      <x:c r="U142" s="101" t="n">
        <x:f>U141*($B$88-$C$88)-U140*$G$88-$H$88</x:f>
        <x:v>12950269.897565976</x:v>
      </x:c>
      <x:c r="V142" s="101" t="n">
        <x:f>V141*($B$88-$C$88)-V140*$G$88-$H$88</x:f>
        <x:v>14970606.316437263</x:v>
      </x:c>
      <x:c r="W142" s="101" t="n">
        <x:f>W141*($B$88-$C$88)-W140*$G$88-$H$88</x:f>
        <x:v>17060818.41005247</x:v>
      </x:c>
      <x:c r="X142" s="101" t="n">
        <x:f>X141*($B$88-$C$88)-X140*$G$88-$H$88</x:f>
        <x:v>19225957.01945877</x:v>
      </x:c>
      <x:c r="Y142" s="101" t="n">
        <x:f>Y141*($B$88-$C$88)-Y140*$G$88-$H$88</x:f>
        <x:v>21471247.674890198</x:v>
      </x:c>
      <x:c r="Z142" s="101" t="n">
        <x:f>Z141*($B$88-$C$88)-Z140*$G$88-$H$88</x:f>
        <x:v>23802103.222870275</x:v>
      </x:c>
    </x:row>
    <x:row r="143" ht="15" hidden="1" customHeight="1">
      <x:c r="A143" s="100" t="s">
        <x:v>459</x:v>
      </x:c>
      <x:c r="B143" s="101" t="n">
        <x:f>$J$88+B142</x:f>
        <x:v>47860000</x:v>
      </x:c>
      <x:c r="C143" s="101" t="n">
        <x:f t="shared" ref="C143" si="48">B143+C142</x:f>
        <x:v>31382102.128</x:v>
      </x:c>
      <x:c r="D143" s="101" t="n">
        <x:f>C143+D142</x:f>
        <x:v>16398286.384</x:v>
      </x:c>
      <x:c r="E143" s="101" t="n">
        <x:f>D143+E142</x:f>
        <x:v>2904858.0233200006</x:v>
      </x:c>
      <x:c r="F143" s="101" t="n">
        <x:f>E143+F142</x:f>
        <x:v>-9098142.4934</x:v>
      </x:c>
      <x:c r="G143" s="101" t="n">
        <x:f>F143+G142</x:f>
        <x:v>-19606948.7370617</x:v>
      </x:c>
      <x:c r="H143" s="101" t="n">
        <x:f>G143+H142</x:f>
        <x:v>-28614068.208956905</x:v>
      </x:c>
      <x:c r="I143" s="101" t="n">
        <x:f>H143+I142</x:f>
        <x:v>-36108272.92469476</x:v>
      </x:c>
      <x:c r="J143" s="101" t="n">
        <x:f>I143+J142</x:f>
        <x:v>-42074580.68295501</x:v>
      </x:c>
      <x:c r="K143" s="101" t="n">
        <x:f>J143+K142</x:f>
        <x:v>-46494226.995527</x:v>
      </x:c>
      <x:c r="L143" s="101" t="n">
        <x:f>K143+L142</x:f>
        <x:v>-49344627.63180637</x:v>
      </x:c>
      <x:c r="M143" s="101" t="n">
        <x:f>L143+M142</x:f>
        <x:v>-50599331.70757456</x:v>
      </x:c>
      <x:c r="N143" s="101" t="n">
        <x:f>M143+N142</x:f>
        <x:v>-50227965.22442226</x:v>
      </x:c>
      <x:c r="O143" s="101" t="n">
        <x:f>N143+O142</x:f>
        <x:v>-48196164.9425389</x:v>
      </x:c>
      <x:c r="P143" s="101" t="n">
        <x:f>O143+P142</x:f>
        <x:v>-44465502.44571659</x:v>
      </x:c>
      <x:c r="Q143" s="101" t="n">
        <x:f>P143+Q142</x:f>
        <x:v>-38993398.23325063</x:v>
      </x:c>
      <x:c r="R143" s="101" t="n">
        <x:f>Q143+R142</x:f>
        <x:v>-31733025.64889896</x:v>
      </x:c>
      <x:c r="S143" s="101" t="n">
        <x:f>R143+S142</x:f>
        <x:v>-22633204.43213041</x:v>
      </x:c>
      <x:c r="T143" s="101" t="n">
        <x:f>S143+T142</x:f>
        <x:v>-11638283.651484106</x:v>
      </x:c>
      <x:c r="U143" s="101" t="n">
        <x:f>T143+U142</x:f>
        <x:v>1311986.24608187</x:v>
      </x:c>
      <x:c r="V143" s="101" t="n">
        <x:f>U143+V142</x:f>
        <x:v>16282592.562519133</x:v>
      </x:c>
      <x:c r="W143" s="101" t="n">
        <x:f>V143+W142</x:f>
        <x:v>33343410.972571604</x:v>
      </x:c>
      <x:c r="X143" s="101" t="n">
        <x:f>W143+X142</x:f>
        <x:v>52569367.992030375</x:v>
      </x:c>
      <x:c r="Y143" s="101" t="n">
        <x:f>X143+Y142</x:f>
        <x:v>74040615.66692057</x:v>
      </x:c>
      <x:c r="Z143" s="101" t="n">
        <x:f>Y143+Z142</x:f>
        <x:v>97842718.88979085</x:v>
      </x:c>
    </x:row>
    <x:row r="144" ht="15" hidden="1" customHeight="1">
      <x:c r="A144" s="100" t="s">
        <x:v>460</x:v>
      </x:c>
      <x:c r="B144" s="101" t="n">
        <x:f>B142</x:f>
        <x:v>-52140000</x:v>
      </x:c>
      <x:c r="C144" s="101" t="n">
        <x:f t="shared" ref="C144" si="49">B144+C142</x:f>
        <x:v>-68617897.872</x:v>
      </x:c>
      <x:c r="D144" s="101" t="n">
        <x:f>C144+D142</x:f>
        <x:v>-83601713.616</x:v>
      </x:c>
      <x:c r="E144" s="101" t="n">
        <x:f>D144+E142</x:f>
        <x:v>-97095141.97668</x:v>
      </x:c>
      <x:c r="F144" s="101" t="n">
        <x:f>E144+F142</x:f>
        <x:v>-109098142.4934</x:v>
      </x:c>
      <x:c r="G144" s="101" t="n">
        <x:f>F144+G142</x:f>
        <x:v>-119606948.7370617</x:v>
      </x:c>
      <x:c r="H144" s="101" t="n">
        <x:f>G144+H142</x:f>
        <x:v>-128614068.2089569</x:v>
      </x:c>
      <x:c r="I144" s="101" t="n">
        <x:f>H144+I142</x:f>
        <x:v>-136108272.92469475</x:v>
      </x:c>
      <x:c r="J144" s="101" t="n">
        <x:f>I144+J142</x:f>
        <x:v>-142074580.682955</x:v>
      </x:c>
      <x:c r="K144" s="101" t="n">
        <x:f>J144+K142</x:f>
        <x:v>-146494226.99552697</x:v>
      </x:c>
      <x:c r="L144" s="101" t="n">
        <x:f>K144+L142</x:f>
        <x:v>-149344627.63180634</x:v>
      </x:c>
      <x:c r="M144" s="101" t="n">
        <x:f>L144+M142</x:f>
        <x:v>-150599331.70757452</x:v>
      </x:c>
      <x:c r="N144" s="101" t="n">
        <x:f>M144+N142</x:f>
        <x:v>-150227965.22442222</x:v>
      </x:c>
      <x:c r="O144" s="101" t="n">
        <x:f>N144+O142</x:f>
        <x:v>-148196164.94253886</x:v>
      </x:c>
      <x:c r="P144" s="101" t="n">
        <x:f>O144+P142</x:f>
        <x:v>-144465502.44571656</x:v>
      </x:c>
      <x:c r="Q144" s="101" t="n">
        <x:f>P144+Q142</x:f>
        <x:v>-138993398.2332506</x:v>
      </x:c>
      <x:c r="R144" s="101" t="n">
        <x:f>Q144+R142</x:f>
        <x:v>-131733025.64889891</x:v>
      </x:c>
      <x:c r="S144" s="101" t="n">
        <x:f>R144+S142</x:f>
        <x:v>-122633204.43213037</x:v>
      </x:c>
      <x:c r="T144" s="101" t="n">
        <x:f>S144+T142</x:f>
        <x:v>-111638283.65148406</x:v>
      </x:c>
      <x:c r="U144" s="101" t="n">
        <x:f>T144+U142</x:f>
        <x:v>-98688013.75391808</x:v>
      </x:c>
      <x:c r="V144" s="101" t="n">
        <x:f>U144+V142</x:f>
        <x:v>-83717407.43748082</x:v>
      </x:c>
      <x:c r="W144" s="101" t="n">
        <x:f>V144+W142</x:f>
        <x:v>-66656589.02742835</x:v>
      </x:c>
      <x:c r="X144" s="101" t="n">
        <x:f>W144+X142</x:f>
        <x:v>-47430632.00796958</x:v>
      </x:c>
      <x:c r="Y144" s="101" t="n">
        <x:f>X144+Y142</x:f>
        <x:v>-25959384.333079383</x:v>
      </x:c>
      <x:c r="Z144" s="101" t="n">
        <x:f>Y144+Z142</x:f>
        <x:v>-2157281.1102091074</x:v>
      </x:c>
    </x:row>
    <x:row r="145" ht="15" hidden="1" customHeight="1"/>
  </x:sheetData>
  <x:mergeCells>
    <x:mergeCell ref="E76:H76"/>
    <x:mergeCell ref="E77:H77"/>
    <x:mergeCell ref="E71:H71"/>
    <x:mergeCell ref="E72:H72"/>
    <x:mergeCell ref="E73:H73"/>
    <x:mergeCell ref="E74:H74"/>
    <x:mergeCell ref="E75:H75"/>
  </x:mergeCells>
  <x:conditionalFormatting sqref="A58:H64">
    <x:cfRule type="expression" dxfId="0" priority="2">
      <x:formula>$H58=1</x:formula>
    </x:cfRule>
  </x:conditionalFormatting>
  <x:pageMargins left="0.7" right="0.7" top="0.75" bottom="0.75" header="0.3" footer="0.3"/>
</x:worksheet>
</file>

<file path=xl/worksheets/sheet9.xml><?xml version="1.0" encoding="utf-8"?>
<x:worksheet xmlns:x="http://schemas.openxmlformats.org/spreadsheetml/2006/main">
  <x:sheetFormatPr baseColWidth="10" defaultColWidth="8.6640625" defaultRowHeight="15"/>
  <x:cols>
    <x:col min="1" max="1" width="48" customWidth="1"/>
    <x:col min="2" max="4" width="18" customWidth="1"/>
    <x:col min="5" max="5" width="15" customWidth="1"/>
    <x:col min="6" max="6" width="40" customWidth="1"/>
    <x:col min="7" max="7" width="52" customWidth="1"/>
  </x:cols>
  <x:sheetData>
    <x:row r="1" ht="17.25" customHeight="1">
      <x:c r="A1" s="12" t="s">
        <x:v>461</x:v>
      </x:c>
    </x:row>
    <x:row r="2" ht="15" customHeight="1">
      <x:c r="A2" s="19" t="s">
        <x:v>462</x:v>
      </x:c>
    </x:row>
    <x:row r="3" ht="15" customHeight="1">
      <x:c r="A3" s="104" t="s">
        <x:v>463</x:v>
      </x:c>
    </x:row>
    <x:row r="4" ht="15" customHeight="1">
      <x:c r="A4" s="24" t="s">
        <x:v>257</x:v>
      </x:c>
      <x:c r="B4" s="24" t="s">
        <x:v>258</x:v>
      </x:c>
      <x:c r="C4" s="24" t="s">
        <x:v>259</x:v>
      </x:c>
      <x:c r="D4" s="24" t="s">
        <x:v>260</x:v>
      </x:c>
      <x:c r="E4" s="24" t="s">
        <x:v>145</x:v>
      </x:c>
      <x:c r="F4" s="24" t="s">
        <x:v>146</x:v>
      </x:c>
      <x:c r="G4" s="24" t="s">
        <x:v>261</x:v>
      </x:c>
    </x:row>
    <x:row r="5" ht="15.75" customHeight="1">
      <x:c r="A5" s="46" t="s">
        <x:v>464</x:v>
      </x:c>
      <x:c r="B5" s="105"/>
      <x:c r="C5" s="105"/>
      <x:c r="D5" s="105"/>
      <x:c r="E5" s="48" t="s">
        <x:v>465</x:v>
      </x:c>
      <x:c r="F5" s="76"/>
      <x:c r="G5" s="50" t="s">
        <x:v>466</x:v>
      </x:c>
    </x:row>
    <x:row r="6" ht="31.5" customHeight="1">
      <x:c r="A6" s="71" t="s">
        <x:v>467</x:v>
      </x:c>
      <x:c r="B6" s="105"/>
      <x:c r="C6" s="105"/>
      <x:c r="D6" s="105"/>
      <x:c r="E6" s="48" t="s">
        <x:v>468</x:v>
      </x:c>
      <x:c r="F6" s="76"/>
      <x:c r="G6" s="50" t="s">
        <x:v>469</x:v>
      </x:c>
    </x:row>
    <x:row r="7" ht="30" customHeight="1">
      <x:c r="A7" s="46" t="s">
        <x:v>470</x:v>
      </x:c>
      <x:c r="B7" s="52"/>
      <x:c r="C7" s="52"/>
      <x:c r="D7" s="52"/>
      <x:c r="E7" s="48" t="s">
        <x:v>167</x:v>
      </x:c>
      <x:c r="F7" s="76"/>
      <x:c r="G7" s="50" t="s">
        <x:v>471</x:v>
      </x:c>
    </x:row>
    <x:row r="8" ht="15.75" customHeight="1">
      <x:c r="A8" s="46" t="s">
        <x:v>472</x:v>
      </x:c>
      <x:c r="B8" s="75"/>
      <x:c r="C8" s="75"/>
      <x:c r="D8" s="75"/>
      <x:c r="E8" s="48" t="s">
        <x:v>178</x:v>
      </x:c>
      <x:c r="F8" s="76"/>
      <x:c r="G8" s="50" t="s">
        <x:v>473</x:v>
      </x:c>
    </x:row>
    <x:row r="9" ht="15.75" customHeight="1">
      <x:c r="A9" s="46" t="s">
        <x:v>474</x:v>
      </x:c>
      <x:c r="B9" s="75"/>
      <x:c r="C9" s="75"/>
      <x:c r="D9" s="75"/>
      <x:c r="E9" s="48" t="s">
        <x:v>212</x:v>
      </x:c>
      <x:c r="F9" s="76"/>
      <x:c r="G9" s="50" t="s">
        <x:v>475</x:v>
      </x:c>
    </x:row>
    <x:row r="10" ht="15.75" customHeight="1">
      <x:c r="A10" s="46" t="s">
        <x:v>476</x:v>
      </x:c>
      <x:c r="B10" s="75"/>
      <x:c r="C10" s="75"/>
      <x:c r="D10" s="75"/>
      <x:c r="E10" s="48" t="s">
        <x:v>477</x:v>
      </x:c>
      <x:c r="F10" s="76"/>
      <x:c r="G10" s="50" t="s">
        <x:v>478</x:v>
      </x:c>
    </x:row>
    <x:row r="11" ht="15.75" customHeight="1">
      <x:c r="A11" s="46" t="s">
        <x:v>479</x:v>
      </x:c>
      <x:c r="B11" s="75"/>
      <x:c r="C11" s="75"/>
      <x:c r="D11" s="75"/>
      <x:c r="E11" s="48" t="s">
        <x:v>477</x:v>
      </x:c>
      <x:c r="F11" s="76"/>
      <x:c r="G11" s="50" t="s">
        <x:v>480</x:v>
      </x:c>
    </x:row>
    <x:row r="12" ht="15.75" customHeight="1">
      <x:c r="A12" s="46" t="s">
        <x:v>481</x:v>
      </x:c>
      <x:c r="B12" s="75"/>
      <x:c r="C12" s="75"/>
      <x:c r="D12" s="75"/>
      <x:c r="E12" s="48" t="s">
        <x:v>212</x:v>
      </x:c>
      <x:c r="F12" s="76"/>
      <x:c r="G12" s="50" t="s">
        <x:v>482</x:v>
      </x:c>
    </x:row>
    <x:row r="13" ht="15" customHeight="1">
      <x:c r="A13" s="46" t="s">
        <x:v>283</x:v>
      </x:c>
      <x:c r="B13" s="52">
        <x:v>0.15</x:v>
      </x:c>
      <x:c r="C13" s="52">
        <x:v>0.15</x:v>
      </x:c>
      <x:c r="D13" s="52">
        <x:v>0.15</x:v>
      </x:c>
      <x:c r="E13" s="48" t="s">
        <x:v>167</x:v>
      </x:c>
      <x:c r="F13" s="76" t="s">
        <x:v>483</x:v>
      </x:c>
      <x:c r="G13" s="48"/>
    </x:row>
    <x:row r="15" ht="26.25" customHeight="1">
      <x:c r="A15" s="24" t="s">
        <x:v>484</x:v>
      </x:c>
      <x:c r="B15" s="24" t="s">
        <x:v>258</x:v>
      </x:c>
      <x:c r="C15" s="24" t="s">
        <x:v>259</x:v>
      </x:c>
      <x:c r="D15" s="24" t="s">
        <x:v>260</x:v>
      </x:c>
      <x:c r="E15" s="24" t="s">
        <x:v>295</x:v>
      </x:c>
    </x:row>
    <x:row r="16" ht="15" customHeight="1">
      <x:c r="A16" s="53" t="s">
        <x:v>485</x:v>
      </x:c>
      <x:c r="B16" s="54" t="n">
        <x:f>B5*B6*52/12*B7*B8+B9</x:f>
        <x:v>0</x:v>
      </x:c>
      <x:c r="C16" s="54" t="n">
        <x:f>C5*C6*52/12*C7*C8+C9</x:f>
        <x:v>0</x:v>
      </x:c>
      <x:c r="D16" s="54" t="n">
        <x:f>D5*D6*52/12*D7*D8+D9</x:f>
        <x:v>0</x:v>
      </x:c>
    </x:row>
    <x:row r="17" ht="15" customHeight="1">
      <x:c r="A17" s="53" t="s">
        <x:v>486</x:v>
      </x:c>
      <x:c r="B17" s="54" t="n">
        <x:f>B16-B12</x:f>
        <x:v>0</x:v>
      </x:c>
      <x:c r="C17" s="54" t="n">
        <x:f>C16-C12</x:f>
        <x:v>0</x:v>
      </x:c>
      <x:c r="D17" s="54" t="n">
        <x:f>D16-D12</x:f>
        <x:v>0</x:v>
      </x:c>
      <x:c r="E17" t="s">
        <x:v>347</x:v>
      </x:c>
    </x:row>
    <x:row r="18" ht="15" customHeight="1">
      <x:c r="A18" s="53" t="s">
        <x:v>487</x:v>
      </x:c>
      <x:c r="B18" s="54" t="n">
        <x:f>B10+B11</x:f>
        <x:v>0</x:v>
      </x:c>
      <x:c r="C18" s="54" t="n">
        <x:f>C10+C11</x:f>
        <x:v>0</x:v>
      </x:c>
      <x:c r="D18" s="54" t="n">
        <x:f>D10+D11</x:f>
        <x:v>0</x:v>
      </x:c>
    </x:row>
    <x:row r="19" ht="15" customHeight="1">
      <x:c r="A19" s="53" t="s">
        <x:v>488</x:v>
      </x:c>
      <x:c r="B19" s="106" t="str">
        <x:f>IF(B5=0,"Chưa điền",IF(B17&gt;0,B18/B17,"Không hoàn vốn"))</x:f>
        <x:v>Chưa điền</x:v>
      </x:c>
      <x:c r="C19" s="106" t="str">
        <x:f>IF(C5=0,"Chưa điền",IF(C17&gt;0,C18/C17,"Không hoàn vốn"))</x:f>
        <x:v>Chưa điền</x:v>
      </x:c>
      <x:c r="D19" s="106" t="str">
        <x:f>IF(D5=0,"Chưa điền",IF(D17&gt;0,D18/D17,"Không hoàn vốn"))</x:f>
        <x:v>Chưa điền</x:v>
      </x:c>
      <x:c r="E19" t="s">
        <x:v>304</x:v>
      </x:c>
    </x:row>
    <x:row r="20" ht="15" customHeight="1">
      <x:c r="A20" s="53" t="s">
        <x:v>489</x:v>
      </x:c>
      <x:c r="B20" s="56" t="n">
        <x:f>IFERROR((12*B17-B18)/B18,0)</x:f>
        <x:v>0</x:v>
      </x:c>
      <x:c r="C20" s="56" t="n">
        <x:f>IFERROR((12*C17-C18)/C18,0)</x:f>
        <x:v>0</x:v>
      </x:c>
      <x:c r="D20" s="56" t="n">
        <x:f>IFERROR((12*D17-D18)/D18,0)</x:f>
        <x:v>0</x:v>
      </x:c>
      <x:c r="E20" t="s">
        <x:v>347</x:v>
      </x:c>
    </x:row>
    <x:row r="21" ht="15" customHeight="1">
      <x:c r="A21" s="53" t="s">
        <x:v>490</x:v>
      </x:c>
      <x:c r="B21" s="55" t="n">
        <x:f>PV(B13/12,24,-B17)-B18</x:f>
        <x:v>0</x:v>
      </x:c>
      <x:c r="C21" s="55" t="n">
        <x:f>PV(C13/12,24,-C17)-C18</x:f>
        <x:v>0</x:v>
      </x:c>
      <x:c r="D21" s="55" t="n">
        <x:f>PV(D13/12,24,-D17)-D18</x:f>
        <x:v>0</x:v>
      </x:c>
      <x:c r="E21" t="s">
        <x:v>347</x:v>
      </x:c>
    </x:row>
    <x:row r="22" ht="15" customHeight="1">
      <x:c r="A22" s="53" t="s">
        <x:v>491</x:v>
      </x:c>
      <x:c r="B22" s="79" t="str">
        <x:f>IF(B5=0,"Chưa điền",IF(NOT(ISNUMBER(B19)),"Dừng",IF(B19&lt;12,"Làm","Thử nghiệm nhỏ")))</x:f>
        <x:v>Chưa điền</x:v>
      </x:c>
      <x:c r="C22" s="79" t="str">
        <x:f>IF(C5=0,"Chưa điền",IF(NOT(ISNUMBER(C19)),"Dừng",IF(C19&lt;12,"Làm","Thử nghiệm nhỏ")))</x:f>
        <x:v>Chưa điền</x:v>
      </x:c>
      <x:c r="D22" s="79" t="str">
        <x:f>IF(D5=0,"Chưa điền",IF(NOT(ISNUMBER(D19)),"Dừng",IF(D19&lt;12,"Làm","Thử nghiệm nhỏ")))</x:f>
        <x:v>Chưa điền</x:v>
      </x:c>
      <x:c r="E22" s="57" t="s">
        <x:v>492</x:v>
      </x:c>
    </x:row>
  </x:sheetData>
  <x:pageMargins left="0.7" right="0.7" top="0.75" bottom="0.75" header="0.3" footer="0.3"/>
</x:worksheet>
</file>

<file path=xl/worksheets/sheet10.xml><?xml version="1.0" encoding="utf-8"?>
<x:worksheet xmlns:x="http://schemas.openxmlformats.org/spreadsheetml/2006/main">
  <x:sheetFormatPr baseColWidth="10" defaultColWidth="8.6640625" defaultRowHeight="15"/>
  <x:cols>
    <x:col min="1" max="1" width="60" customWidth="1"/>
    <x:col min="2" max="2" width="24" customWidth="1"/>
    <x:col min="3" max="3" width="26" customWidth="1"/>
  </x:cols>
  <x:sheetData>
    <x:row r="1" ht="17.25" customHeight="1">
      <x:c r="A1" s="12" t="s">
        <x:v>493</x:v>
      </x:c>
    </x:row>
    <x:row r="2" ht="31.5" customHeight="1">
      <x:c r="A2" s="4" t="s">
        <x:v>494</x:v>
      </x:c>
      <x:c r="B2" s="4"/>
      <x:c r="C2" s="4"/>
    </x:row>
    <x:row r="4" ht="15" customHeight="1">
      <x:c r="A4" s="24" t="s">
        <x:v>495</x:v>
      </x:c>
      <x:c r="B4" s="24" t="s">
        <x:v>496</x:v>
      </x:c>
      <x:c r="C4" s="24" t="s">
        <x:v>497</x:v>
      </x:c>
    </x:row>
    <x:row r="5" ht="15" customHeight="1">
      <x:c r="A5" s="53" t="s">
        <x:v>498</x:v>
      </x:c>
      <x:c r="B5" s="56" t="n">
        <x:f>'1_Chi phí mỗi việc'!B25</x:f>
        <x:v>8.877840909090907</x:v>
      </x:c>
      <x:c r="C5" s="66" t="str">
        <x:f>IF(B5&gt;=0.3,"Đạt","Xem lại")</x:f>
        <x:v>Đạt</x:v>
      </x:c>
    </x:row>
    <x:row r="6" ht="15" customHeight="1">
      <x:c r="A6" s="53" t="s">
        <x:v>499</x:v>
      </x:c>
      <x:c r="B6" s="56" t="n">
        <x:f>'4_Chỉ số mỗi khách'!C7</x:f>
        <x:v>0.7872173943661972</x:v>
      </x:c>
      <x:c r="C6" s="66" t="str">
        <x:f>IF(B6&gt;=0.6,"Đạt","Xem lại")</x:f>
        <x:v>Đạt</x:v>
      </x:c>
    </x:row>
    <x:row r="7" ht="15" customHeight="1">
      <x:c r="A7" s="53" t="s">
        <x:v>500</x:v>
      </x:c>
      <x:c r="B7" s="107" t="n">
        <x:f>'4_Chỉ số mỗi khách'!C11</x:f>
        <x:v>12.006046643651707</x:v>
      </x:c>
      <x:c r="C7" s="66" t="str">
        <x:f>IF(B7&gt;3,"Đạt","Xem lại")</x:f>
        <x:v>Đạt</x:v>
      </x:c>
    </x:row>
    <x:row r="8" ht="15" customHeight="1">
      <x:c r="A8" s="53" t="s">
        <x:v>501</x:v>
      </x:c>
      <x:c r="B8" s="77" t="n">
        <x:f>'4_Chỉ số mỗi khách'!C12</x:f>
        <x:v>1.665827278005384</x:v>
      </x:c>
      <x:c r="C8" s="66" t="str">
        <x:f>IF(AND(B8&gt;0,B8&lt;12),"Đạt","Xem lại")</x:f>
        <x:v>Đạt</x:v>
      </x:c>
    </x:row>
    <x:row r="9" ht="15" customHeight="1">
      <x:c r="A9" s="53" t="s">
        <x:v>502</x:v>
      </x:c>
      <x:c r="B9" s="66" t="str">
        <x:f>IF(AND('3_Giả định'!C9&gt;0,'3_Giả định'!C10&gt;0,'3_Giả định'!D9&gt;=1.5*'3_Giả định'!C9,'3_Giả định'!D10&gt;=1.5*'3_Giả định'!C10),"Có","Không")</x:f>
        <x:v>Có</x:v>
      </x:c>
      <x:c r="C9" s="66" t="str">
        <x:f>IF(B9="Có","Đạt","Xem lại")</x:f>
        <x:v>Đạt</x:v>
      </x:c>
    </x:row>
    <x:row r="10" ht="15" customHeight="1">
      <x:c r="A10" s="53" t="s">
        <x:v>503</x:v>
      </x:c>
      <x:c r="B10" s="84" t="n">
        <x:f>'5_Dòng tiền &amp; hiệu quả'!D47</x:f>
        <x:v>1</x:v>
      </x:c>
      <x:c r="C10" s="66" t="str">
        <x:f>IF(B10="Chưa điền","Chưa điền",IF(ISNUMBER(B10),IF(B10&gt;=12,"Đạt","Cần kế hoạch cắt giảm"),"Đạt"))</x:f>
        <x:v>Cần kế hoạch cắt giảm</x:v>
      </x:c>
    </x:row>
    <x:row r="11" ht="15" customHeight="1">
      <x:c r="A11" s="53" t="s">
        <x:v>504</x:v>
      </x:c>
      <x:c r="B11" s="54" t="n">
        <x:f>'5_Dòng tiền &amp; hiệu quả'!C44</x:f>
        <x:v>31476136.37373744</x:v>
      </x:c>
      <x:c r="C11" s="66" t="str">
        <x:f>IF(B11&gt;0,"Đạt","Xem lại")</x:f>
        <x:v>Đạt</x:v>
      </x:c>
    </x:row>
    <x:row r="12" ht="15" customHeight="1">
      <x:c r="A12" s="53" t="s">
        <x:v>505</x:v>
      </x:c>
      <x:c r="B12" s="66" t="str">
        <x:f>'5_Dòng tiền &amp; hiệu quả'!B66</x:f>
        <x:v>Doanh thu bình quân giảm</x:v>
      </x:c>
      <x:c r="C12" s="66" t="str">
        <x:f>IF(B12="Chưa đủ số liệu","Xem lại","Ghi vào câu 3")</x:f>
        <x:v>Ghi vào câu 3</x:v>
      </x:c>
    </x:row>
    <x:row r="13" ht="16.5" customHeight="1">
      <x:c r="A13" s="3" t="s">
        <x:v>506</x:v>
      </x:c>
      <x:c r="B13" s="3"/>
      <x:c r="C13" s="3"/>
    </x:row>
    <x:row r="14" ht="48.75" customHeight="1">
      <x:c r="A14" s="10" t="s">
        <x:v>507</x:v>
      </x:c>
      <x:c r="B14" s="10"/>
      <x:c r="C14" s="10"/>
    </x:row>
    <x:row r="15" ht="48" customHeight="1">
      <x:c r="A15" s="2" t="str">
        <x:v>Thử nghiệm nhỏ trong 90 ngày với 10 người học trả tiền ở tháng đầu. Cơ sở có NPV 24 tháng khoảng 31,5 triệu nhưng vẫn có thiếu hụt tiền mặt; kịch bản xấu NPV khoảng âm 383,8 triệu và hết tiền tháng 1. Nếu kích hoạt kịch bản xấu, Trần Vũ Gia Huy dừng quảng cáo, hạ chi phí cố định từ 18 xuống tối đa 7 triệu/tháng và giới hạn chi phí xây dựng còn 50 triệu trong 7 ngày.</x:v>
      </x:c>
      <x:c r="B15" s="2"/>
      <x:c r="C15" s="2"/>
    </x:row>
    <x:row r="17" ht="18.75" customHeight="1">
      <x:c r="A17" s="10" t="s">
        <x:v>508</x:v>
      </x:c>
      <x:c r="B17" s="10"/>
      <x:c r="C17" s="10"/>
    </x:row>
    <x:row r="18" ht="48" customHeight="1">
      <x:c r="A18" s="2" t="str">
        <x:v>Giá 208.560 đồng/tài khoản/tháng gồm 12 note đã lưu; note vượt hạn mức thu 15.000 đồng. Mức này tương ứng 8 USD từ Day 22, thấp hơn Notion Business 20 USD nhưng chưa có bằng chứng WTP, nên pilot phải thu tiền thật.</x:v>
      </x:c>
      <x:c r="B18" s="2"/>
      <x:c r="C18" s="2"/>
    </x:row>
    <x:row r="20" ht="18.75" customHeight="1">
      <x:c r="A20" s="10" t="s">
        <x:v>509</x:v>
      </x:c>
      <x:c r="B20" s="10"/>
      <x:c r="C20" s="10"/>
    </x:row>
    <x:row r="21" ht="48" customHeight="1">
      <x:c r="A21" s="2" t="str">
        <x:v>Doanh thu bình quân giảm là biến làm NPV giảm mạnh nhất: giảm 20% kéo NPV cơ sở từ 31,5 triệu xuống âm 97,9 triệu. Trần Vũ Gia Huy theo dõi doanh thu bình quân và tỷ trọng khách dùng nhiều hằng tuần trên cohort trả tiền.</x:v>
      </x:c>
      <x:c r="B21" s="2"/>
      <x:c r="C21" s="2"/>
    </x:row>
    <x:row r="23" ht="63.75" customHeight="1">
      <x:c r="A23" s="10" t="s">
        <x:v>510</x:v>
      </x:c>
      <x:c r="B23" s="10"/>
      <x:c r="C23" s="10"/>
    </x:row>
    <x:row r="24" ht="48" customHeight="1">
      <x:c r="A24" s="2" t="str">
        <x:v>NẾU doanh thu bình quân/khách dưới 226.952 đồng trong 2 tháng liên tiếp trên ít nhất 10 khách trả tiền, THÌ dừng acquisition, phỏng vấn lại WTP và thiết kế lại hạn mức. KHÔNG THÌ không giảm giá gói cơ bản để kéo số đăng ký.</x:v>
      </x:c>
      <x:c r="B24" s="2"/>
      <x:c r="C24" s="2"/>
    </x:row>
    <x:row r="26" ht="33.75" customHeight="1">
      <x:c r="A26" s="10" t="s">
        <x:v>511</x:v>
      </x:c>
      <x:c r="B26" s="10"/>
      <x:c r="C26" s="10"/>
    </x:row>
    <x:row r="27" ht="48" customHeight="1">
      <x:c r="A27" s="9" t="str">
        <x:v>Bảng Day 23 dùng các mức tự tính: doanh thu tối thiểu 226.952 đồng, biên gộp 73,9%, CAC tối đa 397.535 đồng, tối thiểu 10 khách mới tháng đầu, chi phí cố định tối đa 16,53 triệu/tháng và chia đối tác tối đa 4,9%. Trần Vũ Gia Huy cập nhật hằng tuần; tiến gần 10% ngưỡng là đáng lo, vượt ngưỡng là nguy.</x:v>
      </x:c>
      <x:c r="B27" s="9"/>
      <x:c r="C27" s="9"/>
    </x:row>
  </x:sheetData>
  <x:mergeCells>
    <x:mergeCell ref="A26:C26"/>
    <x:mergeCell ref="A27:C27"/>
    <x:mergeCell ref="A18:C18"/>
    <x:mergeCell ref="A20:C20"/>
    <x:mergeCell ref="A21:C21"/>
    <x:mergeCell ref="A23:C23"/>
    <x:mergeCell ref="A24:C24"/>
    <x:mergeCell ref="A2:C2"/>
    <x:mergeCell ref="A13:C13"/>
    <x:mergeCell ref="A14:C14"/>
    <x:mergeCell ref="A15:C15"/>
    <x:mergeCell ref="A17:C17"/>
  </x:mergeCells>
  <x:pageMargins left="0.7" right="0.7" top="0.75" bottom="0.75" header="0.3" footer="0.3"/>
</x:worksheet>
</file>

<file path=xl/worksheets/sheet11.xml><?xml version="1.0" encoding="utf-8"?>
<x:worksheet xmlns:x="http://schemas.openxmlformats.org/spreadsheetml/2006/main">
  <x:sheetFormatPr baseColWidth="10" defaultColWidth="8.6640625" defaultRowHeight="15"/>
  <x:cols>
    <x:col min="1" max="1" width="28" customWidth="1"/>
    <x:col min="2" max="2" width="30" customWidth="1"/>
    <x:col min="3" max="3" width="80" customWidth="1"/>
    <x:col min="4" max="4" width="40" customWidth="1"/>
  </x:cols>
  <x:sheetData>
    <x:row r="1" ht="17.25" customHeight="1">
      <x:c r="A1" s="12" t="s">
        <x:v>512</x:v>
      </x:c>
    </x:row>
    <x:row r="2" ht="15" customHeight="1">
      <x:c r="A2" s="19" t="s">
        <x:v>513</x:v>
      </x:c>
    </x:row>
    <x:row r="4" ht="15" customHeight="1">
      <x:c r="A4" s="24" t="s">
        <x:v>514</x:v>
      </x:c>
      <x:c r="B4" s="24" t="s">
        <x:v>515</x:v>
      </x:c>
      <x:c r="C4" s="24" t="s">
        <x:v>516</x:v>
      </x:c>
      <x:c r="D4" s="24" t="s">
        <x:v>517</x:v>
      </x:c>
    </x:row>
    <x:row r="5" ht="15" customHeight="1">
      <x:c r="A5" s="53" t="s">
        <x:v>518</x:v>
      </x:c>
      <x:c r="B5">
        <x:v>10</x:v>
      </x:c>
      <x:c r="C5" s="14" t="s">
        <x:v>519</x:v>
      </x:c>
      <x:c r="D5" s="108"/>
    </x:row>
    <x:row r="6" ht="15" customHeight="1">
      <x:c r="A6" s="53" t="s">
        <x:v>520</x:v>
      </x:c>
      <x:c r="B6">
        <x:v>15</x:v>
      </x:c>
      <x:c r="C6" s="14" t="s">
        <x:v>521</x:v>
      </x:c>
      <x:c r="D6" s="108"/>
    </x:row>
    <x:row r="7" ht="15" customHeight="1">
      <x:c r="A7" s="53" t="s">
        <x:v>522</x:v>
      </x:c>
      <x:c r="B7">
        <x:v>15</x:v>
      </x:c>
      <x:c r="C7" s="14" t="s">
        <x:v>523</x:v>
      </x:c>
      <x:c r="D7" s="108"/>
    </x:row>
    <x:row r="8" ht="15" customHeight="1">
      <x:c r="A8" s="53" t="s">
        <x:v>524</x:v>
      </x:c>
      <x:c r="B8">
        <x:v>20</x:v>
      </x:c>
      <x:c r="C8" s="14" t="s">
        <x:v>525</x:v>
      </x:c>
      <x:c r="D8" s="108"/>
    </x:row>
    <x:row r="9" ht="15" customHeight="1">
      <x:c r="A9" s="53" t="s">
        <x:v>526</x:v>
      </x:c>
      <x:c r="B9">
        <x:v>20</x:v>
      </x:c>
      <x:c r="C9" s="14" t="s">
        <x:v>527</x:v>
      </x:c>
      <x:c r="D9" s="108"/>
    </x:row>
    <x:row r="10" ht="15" customHeight="1">
      <x:c r="A10" s="53" t="s">
        <x:v>528</x:v>
      </x:c>
      <x:c r="B10">
        <x:v>20</x:v>
      </x:c>
      <x:c r="C10" s="14" t="s">
        <x:v>529</x:v>
      </x:c>
      <x:c r="D10" s="108"/>
    </x:row>
    <x:row r="11" ht="15" customHeight="1">
      <x:c r="A11" s="15" t="s">
        <x:v>530</x:v>
      </x:c>
      <x:c r="B11" t="n">
        <x:f>SUM(B5:B10)</x:f>
        <x:v>100</x:v>
      </x:c>
      <x:c r="D11" s="66" t="n">
        <x:f>SUM(D5:D10)</x:f>
        <x:v>0</x:v>
      </x:c>
    </x:row>
    <x:row r="12" ht="15" customHeight="1">
      <x:c r="A12" s="15" t="s">
        <x:v>531</x:v>
      </x:c>
      <x:c r="B12" t="s">
        <x:v>532</x:v>
      </x:c>
      <x:c r="C12" t="s">
        <x:v>533</x:v>
      </x:c>
      <x:c r="D12" s="108"/>
    </x:row>
    <x:row r="15" ht="15" customHeight="1">
      <x:c r="A15" s="83" t="s">
        <x:v>534</x:v>
      </x:c>
    </x:row>
    <x:row r="16" ht="15" customHeight="1">
      <x:c r="A16" s="24" t="s">
        <x:v>514</x:v>
      </x:c>
      <x:c r="B16" s="24" t="s">
        <x:v>535</x:v>
      </x:c>
      <x:c r="C16" s="24" t="s">
        <x:v>536</x:v>
      </x:c>
      <x:c r="D16" s="24" t="s">
        <x:v>537</x:v>
      </x:c>
    </x:row>
    <x:row r="17" ht="45.75" customHeight="1">
      <x:c r="A17" s="30" t="s">
        <x:v>538</x:v>
      </x:c>
      <x:c r="B17" s="109" t="s">
        <x:v>539</x:v>
      </x:c>
      <x:c r="C17" s="109" t="s">
        <x:v>540</x:v>
      </x:c>
      <x:c r="D17" s="109" t="s">
        <x:v>541</x:v>
      </x:c>
    </x:row>
    <x:row r="18" ht="45.75" customHeight="1">
      <x:c r="A18" s="30" t="s">
        <x:v>542</x:v>
      </x:c>
      <x:c r="B18" s="109" t="s">
        <x:v>543</x:v>
      </x:c>
      <x:c r="C18" s="109" t="s">
        <x:v>544</x:v>
      </x:c>
      <x:c r="D18" s="109" t="s">
        <x:v>545</x:v>
      </x:c>
    </x:row>
    <x:row r="19" ht="45.75" customHeight="1">
      <x:c r="A19" s="30" t="s">
        <x:v>546</x:v>
      </x:c>
      <x:c r="B19" s="109" t="s">
        <x:v>547</x:v>
      </x:c>
      <x:c r="C19" s="109" t="s">
        <x:v>548</x:v>
      </x:c>
      <x:c r="D19" s="109" t="s">
        <x:v>549</x:v>
      </x:c>
    </x:row>
    <x:row r="20" ht="45.75" customHeight="1">
      <x:c r="A20" s="30" t="s">
        <x:v>550</x:v>
      </x:c>
      <x:c r="B20" s="109" t="s">
        <x:v>551</x:v>
      </x:c>
      <x:c r="C20" s="109" t="s">
        <x:v>552</x:v>
      </x:c>
      <x:c r="D20" s="109" t="s">
        <x:v>553</x:v>
      </x:c>
    </x:row>
    <x:row r="22" ht="15" customHeight="1">
      <x:c r="A22" s="57" t="s">
        <x:v>554</x:v>
      </x:c>
    </x:row>
  </x:sheetData>
  <x:pageMargins left="0.7" right="0.7" top="0.75" bottom="0.75" header="0.3" footer="0.3"/>
</x:worksheet>
</file>

<file path=xl/worksheets/sheet12.xml><?xml version="1.0" encoding="utf-8"?>
<x:worksheet xmlns:x="http://schemas.openxmlformats.org/spreadsheetml/2006/main">
  <x:sheetFormatPr baseColWidth="10" defaultColWidth="8.6640625" defaultRowHeight="15"/>
  <x:cols>
    <x:col min="1" max="1" width="44" customWidth="1"/>
    <x:col min="2" max="3" width="22" customWidth="1"/>
    <x:col min="4" max="4" width="70" customWidth="1"/>
    <x:col min="5" max="5" width="48" customWidth="1"/>
  </x:cols>
  <x:sheetData>
    <x:row r="1" ht="15" customHeight="1">
      <x:c r="A1" s="83" t="s">
        <x:v>555</x:v>
      </x:c>
    </x:row>
    <x:row r="2" ht="15" customHeight="1">
      <x:c r="A2" s="57" t="s">
        <x:v>556</x:v>
      </x:c>
    </x:row>
    <x:row r="4" ht="27.75" customHeight="1">
      <x:c r="A4" s="24" t="s">
        <x:v>557</x:v>
      </x:c>
      <x:c r="B4" s="24" t="s">
        <x:v>558</x:v>
      </x:c>
      <x:c r="C4" s="24" t="s">
        <x:v>559</x:v>
      </x:c>
      <x:c r="D4" s="24" t="s">
        <x:v>560</x:v>
      </x:c>
      <x:c r="E4" s="24" t="s">
        <x:v>54</x:v>
      </x:c>
    </x:row>
    <x:row r="5" ht="15" customHeight="1">
      <x:c r="A5" s="85" t="s">
        <x:v>561</x:v>
      </x:c>
      <x:c r="B5" s="110">
        <x:v>0.1</x:v>
      </x:c>
      <x:c r="C5" s="110">
        <x:v>0.5</x:v>
      </x:c>
      <x:c r="D5" s="85" t="s">
        <x:v>562</x:v>
      </x:c>
      <x:c r="E5" s="85" t="s">
        <x:v>563</x:v>
      </x:c>
    </x:row>
    <x:row r="6" ht="15" customHeight="1">
      <x:c r="A6" s="85" t="s">
        <x:v>564</x:v>
      </x:c>
      <x:c r="B6" s="110">
        <x:v>2</x:v>
      </x:c>
      <x:c r="C6" s="110">
        <x:v>10</x:v>
      </x:c>
      <x:c r="D6" s="85" t="s">
        <x:v>565</x:v>
      </x:c>
      <x:c r="E6" s="85" t="s">
        <x:v>566</x:v>
      </x:c>
    </x:row>
    <x:row r="7" ht="15" customHeight="1">
      <x:c r="A7" s="85" t="s">
        <x:v>567</x:v>
      </x:c>
      <x:c r="B7" s="110">
        <x:v>1</x:v>
      </x:c>
      <x:c r="C7" s="110">
        <x:v>5</x:v>
      </x:c>
      <x:c r="D7" s="85" t="s">
        <x:v>568</x:v>
      </x:c>
      <x:c r="E7" s="85"/>
    </x:row>
    <x:row r="8" ht="15" customHeight="1">
      <x:c r="A8" s="85" t="s">
        <x:v>569</x:v>
      </x:c>
      <x:c r="B8" s="110">
        <x:v>2</x:v>
      </x:c>
      <x:c r="C8" s="110">
        <x:v>10</x:v>
      </x:c>
      <x:c r="D8" s="85" t="s">
        <x:v>568</x:v>
      </x:c>
      <x:c r="E8" s="85" t="s">
        <x:v>570</x:v>
      </x:c>
    </x:row>
    <x:row r="11" ht="15" customHeight="1">
      <x:c r="A11" s="24" t="s">
        <x:v>571</x:v>
      </x:c>
      <x:c r="B11" s="24" t="s">
        <x:v>144</x:v>
      </x:c>
      <x:c r="C11" s="24" t="s">
        <x:v>145</x:v>
      </x:c>
      <x:c r="D11" s="24" t="s">
        <x:v>572</x:v>
      </x:c>
      <x:c r="E11" s="24" t="s">
        <x:v>54</x:v>
      </x:c>
    </x:row>
    <x:row r="12" ht="15" customHeight="1">
      <x:c r="A12" s="85" t="s">
        <x:v>573</x:v>
      </x:c>
      <x:c r="B12" s="111">
        <x:v>26170</x:v>
      </x:c>
      <x:c r="C12" s="85" t="s">
        <x:v>164</x:v>
      </x:c>
      <x:c r="D12" s="85" t="s">
        <x:v>574</x:v>
      </x:c>
      <x:c r="E12" s="85" t="s">
        <x:v>575</x:v>
      </x:c>
    </x:row>
    <x:row r="13" ht="15" customHeight="1">
      <x:c r="A13" s="85" t="s">
        <x:v>576</x:v>
      </x:c>
      <x:c r="B13" s="111">
        <x:v>25636</x:v>
      </x:c>
      <x:c r="C13" s="85" t="s">
        <x:v>164</x:v>
      </x:c>
      <x:c r="D13" s="85" t="s">
        <x:v>577</x:v>
      </x:c>
      <x:c r="E13" s="85" t="s">
        <x:v>578</x:v>
      </x:c>
    </x:row>
    <x:row r="14" ht="15" customHeight="1">
      <x:c r="A14" s="85" t="s">
        <x:v>579</x:v>
      </x:c>
      <x:c r="B14" s="111">
        <x:v>5310000</x:v>
      </x:c>
      <x:c r="C14" s="85" t="s">
        <x:v>212</x:v>
      </x:c>
      <x:c r="D14" s="85" t="s">
        <x:v>580</x:v>
      </x:c>
      <x:c r="E14" s="85" t="s">
        <x:v>581</x:v>
      </x:c>
    </x:row>
    <x:row r="15" ht="15" customHeight="1">
      <x:c r="A15" s="85" t="s">
        <x:v>582</x:v>
      </x:c>
      <x:c r="B15" s="111">
        <x:v>25500</x:v>
      </x:c>
      <x:c r="C15" s="85" t="s">
        <x:v>178</x:v>
      </x:c>
      <x:c r="D15" s="85" t="s">
        <x:v>580</x:v>
      </x:c>
      <x:c r="E15" s="85" t="s">
        <x:v>583</x:v>
      </x:c>
    </x:row>
    <x:row r="18" ht="15" customHeight="1">
      <x:c r="A18" s="24" t="s">
        <x:v>584</x:v>
      </x:c>
      <x:c r="B18" s="24" t="s">
        <x:v>585</x:v>
      </x:c>
    </x:row>
    <x:row r="19" ht="48" customHeight="1">
      <x:c r="A19" s="109" t="s">
        <x:v>586</x:v>
      </x:c>
      <x:c r="B19" s="1" t="s">
        <x:v>587</x:v>
      </x:c>
      <x:c r="C19" s="1"/>
      <x:c r="D19" s="1"/>
      <x:c r="E19" s="1"/>
    </x:row>
    <x:row r="20" ht="48" customHeight="1">
      <x:c r="A20" s="109" t="s">
        <x:v>588</x:v>
      </x:c>
      <x:c r="B20" s="1" t="s">
        <x:v>589</x:v>
      </x:c>
      <x:c r="C20" s="1"/>
      <x:c r="D20" s="1"/>
      <x:c r="E20" s="1"/>
    </x:row>
    <x:row r="21" ht="48" customHeight="1">
      <x:c r="A21" s="109" t="s">
        <x:v>590</x:v>
      </x:c>
      <x:c r="B21" s="1" t="s">
        <x:v>591</x:v>
      </x:c>
      <x:c r="C21" s="1"/>
      <x:c r="D21" s="1"/>
      <x:c r="E21" s="1"/>
    </x:row>
    <x:row r="23" ht="15" customHeight="1">
      <x:c r="A23" s="24" t="s">
        <x:v>592</x:v>
      </x:c>
      <x:c r="B23" s="24" t="s">
        <x:v>593</x:v>
      </x:c>
    </x:row>
    <x:row r="24" ht="48" customHeight="1">
      <x:c r="A24" s="109" t="s">
        <x:v>594</x:v>
      </x:c>
      <x:c r="B24" s="1" t="s">
        <x:v>595</x:v>
      </x:c>
      <x:c r="C24" s="1"/>
      <x:c r="D24" s="1"/>
      <x:c r="E24" s="1"/>
    </x:row>
    <x:row r="25" ht="48" customHeight="1">
      <x:c r="A25" s="109" t="s">
        <x:v>596</x:v>
      </x:c>
      <x:c r="B25" s="1" t="s">
        <x:v>597</x:v>
      </x:c>
      <x:c r="C25" s="1"/>
      <x:c r="D25" s="1"/>
      <x:c r="E25" s="1"/>
    </x:row>
    <x:row r="26" ht="48" customHeight="1">
      <x:c r="A26" s="109" t="s">
        <x:v>598</x:v>
      </x:c>
      <x:c r="B26" s="1" t="s">
        <x:v>599</x:v>
      </x:c>
      <x:c r="C26" s="1"/>
      <x:c r="D26" s="1"/>
      <x:c r="E26" s="1"/>
    </x:row>
    <x:row r="27" ht="48" customHeight="1">
      <x:c r="A27" s="109" t="s">
        <x:v>600</x:v>
      </x:c>
      <x:c r="B27" s="1" t="s">
        <x:v>601</x:v>
      </x:c>
      <x:c r="C27" s="1"/>
      <x:c r="D27" s="1"/>
      <x:c r="E27" s="1"/>
    </x:row>
    <x:row r="28" ht="48" customHeight="1">
      <x:c r="A28" s="109" t="s">
        <x:v>602</x:v>
      </x:c>
      <x:c r="B28" s="1" t="s">
        <x:v>603</x:v>
      </x:c>
      <x:c r="C28" s="1"/>
      <x:c r="D28" s="1"/>
      <x:c r="E28" s="1"/>
    </x:row>
  </x:sheetData>
  <x:mergeCells>
    <x:mergeCell ref="B26:E26"/>
    <x:mergeCell ref="B27:E27"/>
    <x:mergeCell ref="B28:E28"/>
    <x:mergeCell ref="B19:E19"/>
    <x:mergeCell ref="B20:E20"/>
    <x:mergeCell ref="B21:E21"/>
    <x:mergeCell ref="B24:E24"/>
    <x:mergeCell ref="B25:E25"/>
  </x:mergeCells>
  <x:pageMargins left="0.7" right="0.7" top="0.75" bottom="0.75" header="0.3" footer="0.3"/>
</x:worksheet>
</file>